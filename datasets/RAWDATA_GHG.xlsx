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in\Desktop\GitHub\ESGsummary\datasets\"/>
    </mc:Choice>
  </mc:AlternateContent>
  <bookViews>
    <workbookView xWindow="0" yWindow="0" windowWidth="16200" windowHeight="13428"/>
  </bookViews>
  <sheets>
    <sheet name="Sheet1" sheetId="2" r:id="rId1"/>
  </sheets>
  <definedNames>
    <definedName name="_xlnm._FilterDatabase" localSheetId="0" hidden="1">Sheet1!$A$1:$S$289</definedName>
  </definedNames>
  <calcPr calcId="162913"/>
</workbook>
</file>

<file path=xl/calcChain.xml><?xml version="1.0" encoding="utf-8"?>
<calcChain xmlns="http://schemas.openxmlformats.org/spreadsheetml/2006/main">
  <c r="H5" i="2" l="1"/>
  <c r="H2" i="2"/>
  <c r="H3" i="2" l="1"/>
  <c r="H4" i="2"/>
  <c r="H289" i="2" l="1"/>
  <c r="S289" i="2" s="1"/>
  <c r="H288" i="2"/>
  <c r="S288" i="2" s="1"/>
  <c r="H287" i="2"/>
  <c r="S287" i="2" s="1"/>
  <c r="H286" i="2"/>
  <c r="S286" i="2" s="1"/>
  <c r="H285" i="2"/>
  <c r="S285" i="2" s="1"/>
  <c r="H284" i="2"/>
  <c r="S284" i="2" s="1"/>
  <c r="H283" i="2"/>
  <c r="S283" i="2" s="1"/>
  <c r="H282" i="2"/>
  <c r="S282" i="2" s="1"/>
  <c r="H281" i="2"/>
  <c r="S281" i="2" s="1"/>
  <c r="H280" i="2"/>
  <c r="S280" i="2" s="1"/>
  <c r="H279" i="2"/>
  <c r="S279" i="2" s="1"/>
  <c r="H278" i="2"/>
  <c r="S278" i="2" s="1"/>
  <c r="H277" i="2"/>
  <c r="S277" i="2" s="1"/>
  <c r="H276" i="2"/>
  <c r="S276" i="2" s="1"/>
  <c r="H275" i="2"/>
  <c r="S275" i="2" s="1"/>
  <c r="H274" i="2"/>
  <c r="S274" i="2" s="1"/>
  <c r="H273" i="2"/>
  <c r="S273" i="2" s="1"/>
  <c r="H272" i="2"/>
  <c r="S272" i="2" s="1"/>
  <c r="H271" i="2"/>
  <c r="S271" i="2" s="1"/>
  <c r="H270" i="2"/>
  <c r="S270" i="2" s="1"/>
  <c r="H269" i="2"/>
  <c r="S269" i="2" s="1"/>
  <c r="H268" i="2"/>
  <c r="S268" i="2" s="1"/>
  <c r="H267" i="2"/>
  <c r="S267" i="2" s="1"/>
  <c r="H266" i="2"/>
  <c r="S266" i="2" s="1"/>
  <c r="H265" i="2"/>
  <c r="S265" i="2" s="1"/>
  <c r="H264" i="2"/>
  <c r="S264" i="2" s="1"/>
  <c r="H263" i="2"/>
  <c r="S263" i="2" s="1"/>
  <c r="H262" i="2"/>
  <c r="S262" i="2" s="1"/>
  <c r="H261" i="2"/>
  <c r="S261" i="2" s="1"/>
  <c r="H260" i="2"/>
  <c r="S260" i="2" s="1"/>
  <c r="H259" i="2"/>
  <c r="S259" i="2" s="1"/>
  <c r="H258" i="2"/>
  <c r="S258" i="2" s="1"/>
  <c r="H257" i="2"/>
  <c r="S257" i="2" s="1"/>
  <c r="H256" i="2"/>
  <c r="S256" i="2" s="1"/>
  <c r="H255" i="2"/>
  <c r="S255" i="2" s="1"/>
  <c r="H254" i="2"/>
  <c r="S254" i="2" s="1"/>
  <c r="H253" i="2"/>
  <c r="S253" i="2" s="1"/>
  <c r="H252" i="2"/>
  <c r="S252" i="2" s="1"/>
  <c r="H251" i="2"/>
  <c r="S251" i="2" s="1"/>
  <c r="H250" i="2"/>
  <c r="S250" i="2" s="1"/>
  <c r="H249" i="2"/>
  <c r="S249" i="2" s="1"/>
  <c r="H248" i="2"/>
  <c r="S248" i="2" s="1"/>
  <c r="H247" i="2"/>
  <c r="S247" i="2" s="1"/>
  <c r="H246" i="2"/>
  <c r="S246" i="2" s="1"/>
  <c r="H245" i="2"/>
  <c r="S245" i="2" s="1"/>
  <c r="H244" i="2"/>
  <c r="S244" i="2" s="1"/>
  <c r="H243" i="2"/>
  <c r="S243" i="2" s="1"/>
  <c r="H242" i="2"/>
  <c r="S242" i="2" s="1"/>
  <c r="H241" i="2"/>
  <c r="S241" i="2" s="1"/>
  <c r="H240" i="2"/>
  <c r="S240" i="2" s="1"/>
  <c r="H239" i="2"/>
  <c r="S239" i="2" s="1"/>
  <c r="H238" i="2"/>
  <c r="S238" i="2" s="1"/>
  <c r="H237" i="2"/>
  <c r="S237" i="2" s="1"/>
  <c r="H236" i="2"/>
  <c r="S236" i="2" s="1"/>
  <c r="H235" i="2"/>
  <c r="S235" i="2" s="1"/>
  <c r="H234" i="2"/>
  <c r="S234" i="2" s="1"/>
  <c r="H233" i="2"/>
  <c r="S233" i="2" s="1"/>
  <c r="H232" i="2"/>
  <c r="S232" i="2" s="1"/>
  <c r="H231" i="2"/>
  <c r="S231" i="2" s="1"/>
  <c r="H230" i="2"/>
  <c r="S230" i="2" s="1"/>
  <c r="H229" i="2"/>
  <c r="S229" i="2" s="1"/>
  <c r="H228" i="2"/>
  <c r="S228" i="2" s="1"/>
  <c r="H227" i="2"/>
  <c r="S227" i="2" s="1"/>
  <c r="H226" i="2"/>
  <c r="S226" i="2" s="1"/>
  <c r="H225" i="2"/>
  <c r="S225" i="2" s="1"/>
  <c r="H224" i="2"/>
  <c r="S224" i="2" s="1"/>
  <c r="H223" i="2"/>
  <c r="S223" i="2" s="1"/>
  <c r="H222" i="2"/>
  <c r="S222" i="2" s="1"/>
  <c r="H221" i="2"/>
  <c r="S221" i="2" s="1"/>
  <c r="H220" i="2"/>
  <c r="S220" i="2" s="1"/>
  <c r="H219" i="2"/>
  <c r="S219" i="2" s="1"/>
  <c r="H218" i="2"/>
  <c r="S218" i="2" s="1"/>
  <c r="H217" i="2"/>
  <c r="S217" i="2" s="1"/>
  <c r="H216" i="2"/>
  <c r="S216" i="2" s="1"/>
  <c r="H215" i="2"/>
  <c r="S215" i="2" s="1"/>
  <c r="H214" i="2"/>
  <c r="S214" i="2" s="1"/>
  <c r="H213" i="2"/>
  <c r="S213" i="2" s="1"/>
  <c r="H212" i="2"/>
  <c r="S212" i="2" s="1"/>
  <c r="H211" i="2"/>
  <c r="S211" i="2" s="1"/>
  <c r="H210" i="2"/>
  <c r="S210" i="2" s="1"/>
  <c r="H209" i="2"/>
  <c r="S209" i="2" s="1"/>
  <c r="H208" i="2"/>
  <c r="S208" i="2" s="1"/>
  <c r="H207" i="2"/>
  <c r="S207" i="2" s="1"/>
  <c r="H206" i="2"/>
  <c r="S206" i="2" s="1"/>
  <c r="H205" i="2"/>
  <c r="S205" i="2" s="1"/>
  <c r="H204" i="2"/>
  <c r="S204" i="2" s="1"/>
  <c r="H203" i="2"/>
  <c r="S203" i="2" s="1"/>
  <c r="H202" i="2"/>
  <c r="S202" i="2" s="1"/>
  <c r="H201" i="2"/>
  <c r="S201" i="2" s="1"/>
  <c r="H200" i="2"/>
  <c r="S200" i="2" s="1"/>
  <c r="H199" i="2"/>
  <c r="S199" i="2" s="1"/>
  <c r="H198" i="2"/>
  <c r="S198" i="2" s="1"/>
  <c r="H197" i="2"/>
  <c r="S197" i="2" s="1"/>
  <c r="H196" i="2"/>
  <c r="S196" i="2" s="1"/>
  <c r="H195" i="2"/>
  <c r="S195" i="2" s="1"/>
  <c r="H194" i="2"/>
  <c r="S194" i="2" s="1"/>
  <c r="H193" i="2"/>
  <c r="S193" i="2" s="1"/>
  <c r="H192" i="2"/>
  <c r="S192" i="2" s="1"/>
  <c r="H191" i="2"/>
  <c r="S191" i="2" s="1"/>
  <c r="H190" i="2"/>
  <c r="S190" i="2" s="1"/>
  <c r="H189" i="2"/>
  <c r="S189" i="2" s="1"/>
  <c r="H188" i="2"/>
  <c r="S188" i="2" s="1"/>
  <c r="H187" i="2"/>
  <c r="S187" i="2" s="1"/>
  <c r="H186" i="2"/>
  <c r="S186" i="2" s="1"/>
  <c r="H185" i="2"/>
  <c r="S185" i="2" s="1"/>
  <c r="H184" i="2"/>
  <c r="S184" i="2" s="1"/>
  <c r="H183" i="2"/>
  <c r="S183" i="2" s="1"/>
  <c r="H182" i="2"/>
  <c r="S182" i="2" s="1"/>
  <c r="H181" i="2"/>
  <c r="S181" i="2" s="1"/>
  <c r="H180" i="2"/>
  <c r="S180" i="2" s="1"/>
  <c r="H179" i="2"/>
  <c r="S179" i="2" s="1"/>
  <c r="H178" i="2"/>
  <c r="S178" i="2" s="1"/>
  <c r="H177" i="2"/>
  <c r="S177" i="2" s="1"/>
  <c r="H176" i="2"/>
  <c r="S176" i="2" s="1"/>
  <c r="H175" i="2"/>
  <c r="S175" i="2" s="1"/>
  <c r="H174" i="2"/>
  <c r="S174" i="2" s="1"/>
  <c r="H173" i="2"/>
  <c r="S173" i="2" s="1"/>
  <c r="H172" i="2"/>
  <c r="S172" i="2" s="1"/>
  <c r="H171" i="2"/>
  <c r="S171" i="2" s="1"/>
  <c r="H170" i="2"/>
  <c r="S170" i="2" s="1"/>
  <c r="H169" i="2"/>
  <c r="S169" i="2" s="1"/>
  <c r="H168" i="2"/>
  <c r="S168" i="2" s="1"/>
  <c r="H167" i="2"/>
  <c r="S167" i="2" s="1"/>
  <c r="H166" i="2"/>
  <c r="S166" i="2" s="1"/>
  <c r="H165" i="2"/>
  <c r="S165" i="2" s="1"/>
  <c r="H164" i="2"/>
  <c r="S164" i="2" s="1"/>
  <c r="H163" i="2"/>
  <c r="S163" i="2" s="1"/>
  <c r="H162" i="2"/>
  <c r="S162" i="2" s="1"/>
  <c r="H161" i="2"/>
  <c r="S161" i="2" s="1"/>
  <c r="H160" i="2"/>
  <c r="S160" i="2" s="1"/>
  <c r="H159" i="2"/>
  <c r="S159" i="2" s="1"/>
  <c r="H158" i="2"/>
  <c r="S158" i="2" s="1"/>
  <c r="H157" i="2"/>
  <c r="S157" i="2" s="1"/>
  <c r="H156" i="2"/>
  <c r="S156" i="2" s="1"/>
  <c r="H155" i="2"/>
  <c r="S155" i="2" s="1"/>
  <c r="H154" i="2"/>
  <c r="S154" i="2" s="1"/>
  <c r="H153" i="2"/>
  <c r="S153" i="2" s="1"/>
  <c r="H152" i="2"/>
  <c r="S152" i="2" s="1"/>
  <c r="H151" i="2"/>
  <c r="S151" i="2" s="1"/>
  <c r="H150" i="2"/>
  <c r="S150" i="2" s="1"/>
  <c r="H149" i="2"/>
  <c r="S149" i="2" s="1"/>
  <c r="H148" i="2"/>
  <c r="S148" i="2" s="1"/>
  <c r="H147" i="2"/>
  <c r="S147" i="2" s="1"/>
  <c r="H146" i="2"/>
  <c r="S146" i="2" s="1"/>
  <c r="H145" i="2"/>
  <c r="S145" i="2" s="1"/>
  <c r="H144" i="2"/>
  <c r="S144" i="2" s="1"/>
  <c r="H143" i="2"/>
  <c r="S143" i="2" s="1"/>
  <c r="H142" i="2"/>
  <c r="S142" i="2" s="1"/>
  <c r="H141" i="2"/>
  <c r="S141" i="2" s="1"/>
  <c r="H140" i="2"/>
  <c r="S140" i="2" s="1"/>
  <c r="H139" i="2"/>
  <c r="S139" i="2" s="1"/>
  <c r="H138" i="2"/>
  <c r="S138" i="2" s="1"/>
  <c r="H137" i="2"/>
  <c r="S137" i="2" s="1"/>
  <c r="H136" i="2"/>
  <c r="S136" i="2" s="1"/>
  <c r="H135" i="2"/>
  <c r="S135" i="2" s="1"/>
  <c r="H134" i="2"/>
  <c r="S134" i="2" s="1"/>
  <c r="H133" i="2"/>
  <c r="S133" i="2" s="1"/>
  <c r="H132" i="2"/>
  <c r="S132" i="2" s="1"/>
  <c r="H131" i="2"/>
  <c r="S131" i="2" s="1"/>
  <c r="H130" i="2"/>
  <c r="S130" i="2" s="1"/>
  <c r="H129" i="2"/>
  <c r="S129" i="2" s="1"/>
  <c r="H128" i="2"/>
  <c r="S128" i="2" s="1"/>
  <c r="H127" i="2"/>
  <c r="S127" i="2" s="1"/>
  <c r="H126" i="2"/>
  <c r="S126" i="2" s="1"/>
  <c r="H125" i="2"/>
  <c r="S125" i="2" s="1"/>
  <c r="H124" i="2"/>
  <c r="S124" i="2" s="1"/>
  <c r="H123" i="2"/>
  <c r="S123" i="2" s="1"/>
  <c r="H122" i="2"/>
  <c r="S122" i="2" s="1"/>
  <c r="H121" i="2"/>
  <c r="S121" i="2" s="1"/>
  <c r="H120" i="2"/>
  <c r="S120" i="2" s="1"/>
  <c r="H119" i="2"/>
  <c r="S119" i="2" s="1"/>
  <c r="H118" i="2"/>
  <c r="S118" i="2" s="1"/>
  <c r="H117" i="2"/>
  <c r="S117" i="2" s="1"/>
  <c r="H116" i="2"/>
  <c r="S116" i="2" s="1"/>
  <c r="H115" i="2"/>
  <c r="S115" i="2" s="1"/>
  <c r="H114" i="2"/>
  <c r="S114" i="2" s="1"/>
  <c r="H113" i="2"/>
  <c r="S113" i="2" s="1"/>
  <c r="H112" i="2"/>
  <c r="S112" i="2" s="1"/>
  <c r="H111" i="2"/>
  <c r="S111" i="2" s="1"/>
  <c r="H110" i="2"/>
  <c r="S110" i="2" s="1"/>
  <c r="H109" i="2"/>
  <c r="S109" i="2" s="1"/>
  <c r="H108" i="2"/>
  <c r="S108" i="2" s="1"/>
  <c r="H107" i="2"/>
  <c r="S107" i="2" s="1"/>
  <c r="H106" i="2"/>
  <c r="S106" i="2" s="1"/>
  <c r="H105" i="2"/>
  <c r="S105" i="2" s="1"/>
  <c r="H104" i="2"/>
  <c r="S104" i="2" s="1"/>
  <c r="H103" i="2"/>
  <c r="S103" i="2" s="1"/>
  <c r="H102" i="2"/>
  <c r="S102" i="2" s="1"/>
  <c r="H101" i="2"/>
  <c r="S101" i="2" s="1"/>
  <c r="H100" i="2"/>
  <c r="S100" i="2" s="1"/>
  <c r="H99" i="2"/>
  <c r="S99" i="2" s="1"/>
  <c r="H98" i="2"/>
  <c r="S98" i="2" s="1"/>
  <c r="H97" i="2"/>
  <c r="S97" i="2" s="1"/>
  <c r="H96" i="2"/>
  <c r="S96" i="2" s="1"/>
  <c r="H95" i="2"/>
  <c r="S95" i="2" s="1"/>
  <c r="H94" i="2"/>
  <c r="S94" i="2" s="1"/>
  <c r="H93" i="2"/>
  <c r="S93" i="2" s="1"/>
  <c r="H92" i="2"/>
  <c r="S92" i="2" s="1"/>
  <c r="H91" i="2"/>
  <c r="S91" i="2" s="1"/>
  <c r="H90" i="2"/>
  <c r="S90" i="2" s="1"/>
  <c r="H89" i="2"/>
  <c r="S89" i="2" s="1"/>
  <c r="H88" i="2"/>
  <c r="S88" i="2" s="1"/>
  <c r="H87" i="2"/>
  <c r="S87" i="2" s="1"/>
  <c r="H86" i="2"/>
  <c r="S86" i="2" s="1"/>
  <c r="H85" i="2"/>
  <c r="S85" i="2" s="1"/>
  <c r="H84" i="2"/>
  <c r="S84" i="2" s="1"/>
  <c r="H83" i="2"/>
  <c r="S83" i="2" s="1"/>
  <c r="H82" i="2"/>
  <c r="S82" i="2" s="1"/>
  <c r="H81" i="2"/>
  <c r="S81" i="2" s="1"/>
  <c r="H80" i="2"/>
  <c r="S80" i="2" s="1"/>
  <c r="H79" i="2"/>
  <c r="S79" i="2" s="1"/>
  <c r="H78" i="2"/>
  <c r="S78" i="2" s="1"/>
  <c r="H77" i="2"/>
  <c r="S77" i="2" s="1"/>
  <c r="H76" i="2"/>
  <c r="S76" i="2" s="1"/>
  <c r="H75" i="2"/>
  <c r="S75" i="2" s="1"/>
  <c r="H74" i="2"/>
  <c r="S74" i="2" s="1"/>
  <c r="H73" i="2"/>
  <c r="S73" i="2" s="1"/>
  <c r="H72" i="2"/>
  <c r="S72" i="2" s="1"/>
  <c r="H71" i="2"/>
  <c r="S71" i="2" s="1"/>
  <c r="H70" i="2"/>
  <c r="S70" i="2" s="1"/>
  <c r="H69" i="2"/>
  <c r="S69" i="2" s="1"/>
  <c r="H68" i="2"/>
  <c r="S68" i="2" s="1"/>
  <c r="H67" i="2"/>
  <c r="S67" i="2" s="1"/>
  <c r="H66" i="2"/>
  <c r="S66" i="2" s="1"/>
  <c r="H65" i="2"/>
  <c r="S65" i="2" s="1"/>
  <c r="H64" i="2"/>
  <c r="S64" i="2" s="1"/>
  <c r="H63" i="2"/>
  <c r="S63" i="2" s="1"/>
  <c r="H62" i="2"/>
  <c r="S62" i="2" s="1"/>
  <c r="H61" i="2"/>
  <c r="S61" i="2" s="1"/>
  <c r="H60" i="2"/>
  <c r="S60" i="2" s="1"/>
  <c r="H59" i="2"/>
  <c r="S59" i="2" s="1"/>
  <c r="H58" i="2"/>
  <c r="S58" i="2" s="1"/>
  <c r="H57" i="2"/>
  <c r="S57" i="2" s="1"/>
  <c r="H56" i="2"/>
  <c r="S56" i="2" s="1"/>
  <c r="H55" i="2"/>
  <c r="S55" i="2" s="1"/>
  <c r="H54" i="2"/>
  <c r="S54" i="2" s="1"/>
  <c r="H53" i="2"/>
  <c r="S53" i="2" s="1"/>
  <c r="H52" i="2"/>
  <c r="S52" i="2" s="1"/>
  <c r="H51" i="2"/>
  <c r="S51" i="2" s="1"/>
  <c r="H50" i="2"/>
  <c r="S50" i="2" s="1"/>
  <c r="H49" i="2"/>
  <c r="S49" i="2" s="1"/>
  <c r="H48" i="2"/>
  <c r="S48" i="2" s="1"/>
  <c r="H47" i="2"/>
  <c r="S47" i="2" s="1"/>
  <c r="H46" i="2"/>
  <c r="S46" i="2" s="1"/>
  <c r="H45" i="2"/>
  <c r="S45" i="2" s="1"/>
  <c r="H44" i="2"/>
  <c r="S44" i="2" s="1"/>
  <c r="H43" i="2"/>
  <c r="S43" i="2" s="1"/>
  <c r="H42" i="2"/>
  <c r="S42" i="2" s="1"/>
  <c r="H41" i="2"/>
  <c r="S41" i="2" s="1"/>
  <c r="H40" i="2"/>
  <c r="S40" i="2" s="1"/>
  <c r="H39" i="2"/>
  <c r="S39" i="2" s="1"/>
  <c r="H38" i="2"/>
  <c r="S38" i="2" s="1"/>
  <c r="H37" i="2"/>
  <c r="S37" i="2" s="1"/>
  <c r="H36" i="2"/>
  <c r="S36" i="2" s="1"/>
  <c r="H35" i="2"/>
  <c r="S35" i="2" s="1"/>
  <c r="H34" i="2"/>
  <c r="S34" i="2" s="1"/>
  <c r="H33" i="2"/>
  <c r="S33" i="2" s="1"/>
  <c r="H32" i="2"/>
  <c r="S32" i="2" s="1"/>
  <c r="H31" i="2"/>
  <c r="S31" i="2" s="1"/>
  <c r="H30" i="2"/>
  <c r="S30" i="2" s="1"/>
  <c r="H29" i="2"/>
  <c r="S29" i="2" s="1"/>
  <c r="H28" i="2"/>
  <c r="S28" i="2" s="1"/>
  <c r="H27" i="2"/>
  <c r="S27" i="2" s="1"/>
  <c r="H26" i="2"/>
  <c r="S26" i="2" s="1"/>
  <c r="H25" i="2"/>
  <c r="S25" i="2" s="1"/>
  <c r="H24" i="2"/>
  <c r="S24" i="2" s="1"/>
  <c r="H23" i="2"/>
  <c r="S23" i="2" s="1"/>
  <c r="H22" i="2"/>
  <c r="S22" i="2" s="1"/>
  <c r="H21" i="2"/>
  <c r="S21" i="2" s="1"/>
  <c r="H20" i="2"/>
  <c r="S20" i="2" s="1"/>
  <c r="H19" i="2"/>
  <c r="S19" i="2" s="1"/>
  <c r="H18" i="2"/>
  <c r="S18" i="2" s="1"/>
  <c r="H17" i="2"/>
  <c r="S17" i="2" s="1"/>
  <c r="H16" i="2"/>
  <c r="S16" i="2" s="1"/>
  <c r="H15" i="2"/>
  <c r="S15" i="2" s="1"/>
  <c r="H14" i="2"/>
  <c r="S14" i="2" s="1"/>
  <c r="H13" i="2"/>
  <c r="S13" i="2" s="1"/>
  <c r="H12" i="2"/>
  <c r="S12" i="2" s="1"/>
  <c r="H11" i="2"/>
  <c r="S11" i="2" s="1"/>
  <c r="H10" i="2"/>
  <c r="S10" i="2" s="1"/>
  <c r="H9" i="2"/>
  <c r="S9" i="2" s="1"/>
  <c r="H8" i="2"/>
  <c r="S8" i="2" s="1"/>
  <c r="H7" i="2"/>
  <c r="S7" i="2" s="1"/>
  <c r="H6" i="2"/>
  <c r="S6" i="2" s="1"/>
  <c r="S5" i="2"/>
  <c r="S4" i="2"/>
  <c r="S3" i="2"/>
  <c r="S2" i="2"/>
</calcChain>
</file>

<file path=xl/sharedStrings.xml><?xml version="1.0" encoding="utf-8"?>
<sst xmlns="http://schemas.openxmlformats.org/spreadsheetml/2006/main" count="1775" uniqueCount="332">
  <si>
    <t>이천</t>
  </si>
  <si>
    <t>GJ</t>
  </si>
  <si>
    <t>Scope 1</t>
  </si>
  <si>
    <t>청주</t>
  </si>
  <si>
    <t>분당</t>
  </si>
  <si>
    <t>서울</t>
  </si>
  <si>
    <t>휘발유/경유</t>
  </si>
  <si>
    <t>kg</t>
  </si>
  <si>
    <t>HFCs (CHF3)</t>
  </si>
  <si>
    <t>전력</t>
  </si>
  <si>
    <t>GWh</t>
  </si>
  <si>
    <t>Scope 2</t>
  </si>
  <si>
    <t>ton</t>
  </si>
  <si>
    <t>DOC-2024-001</t>
  </si>
  <si>
    <t>천m3</t>
  </si>
  <si>
    <t>TJ/1,000,000Nm3</t>
  </si>
  <si>
    <t>DOC-2024-002</t>
  </si>
  <si>
    <t>DOC-2024-003</t>
  </si>
  <si>
    <t>DOC-2024-004</t>
  </si>
  <si>
    <t>DOC-2024-005</t>
  </si>
  <si>
    <t>DOC-2024-006</t>
  </si>
  <si>
    <t>DOC-2024-007</t>
  </si>
  <si>
    <t>DOC-2024-008</t>
  </si>
  <si>
    <t>DOC-2024-009</t>
  </si>
  <si>
    <t>DOC-2024-010</t>
  </si>
  <si>
    <t>DOC-2024-011</t>
  </si>
  <si>
    <t>DOC-2024-012</t>
  </si>
  <si>
    <t>DOC-2024-013</t>
  </si>
  <si>
    <t>㎘</t>
  </si>
  <si>
    <t>TJ/1000㎘</t>
  </si>
  <si>
    <t>DOC-2024-014</t>
  </si>
  <si>
    <t>DOC-2024-015</t>
  </si>
  <si>
    <t>DOC-2024-016</t>
  </si>
  <si>
    <t>DOC-2024-017</t>
  </si>
  <si>
    <t>DOC-2024-018</t>
  </si>
  <si>
    <t>DOC-2024-019</t>
  </si>
  <si>
    <t>DOC-2024-020</t>
  </si>
  <si>
    <t>DOC-2024-021</t>
  </si>
  <si>
    <t>DOC-2024-022</t>
  </si>
  <si>
    <t>DOC-2024-023</t>
  </si>
  <si>
    <t>DOC-2024-024</t>
  </si>
  <si>
    <t>DOC-2024-025</t>
  </si>
  <si>
    <t>공정가스 (SF6)</t>
  </si>
  <si>
    <t>kg-부생가스/kg-투입가스</t>
  </si>
  <si>
    <t>GWP(SF6)</t>
  </si>
  <si>
    <t>DOC-2024-026</t>
  </si>
  <si>
    <t>DOC-2024-027</t>
  </si>
  <si>
    <t>DOC-2024-028</t>
  </si>
  <si>
    <t>DOC-2024-029</t>
  </si>
  <si>
    <t>DOC-2024-030</t>
  </si>
  <si>
    <t>DOC-2024-031</t>
  </si>
  <si>
    <t>DOC-2024-032</t>
  </si>
  <si>
    <t>DOC-2024-033</t>
  </si>
  <si>
    <t>DOC-2024-034</t>
  </si>
  <si>
    <t>DOC-2024-035</t>
  </si>
  <si>
    <t>DOC-2024-036</t>
  </si>
  <si>
    <t>DOC-2024-037</t>
  </si>
  <si>
    <t>DOC-2024-038</t>
  </si>
  <si>
    <t>DOC-2024-039</t>
  </si>
  <si>
    <t>DOC-2024-040</t>
  </si>
  <si>
    <t>DOC-2024-041</t>
  </si>
  <si>
    <t>DOC-2024-042</t>
  </si>
  <si>
    <t>DOC-2024-043</t>
  </si>
  <si>
    <t>DOC-2024-044</t>
  </si>
  <si>
    <t>DOC-2024-045</t>
  </si>
  <si>
    <t>DOC-2024-046</t>
  </si>
  <si>
    <t>DOC-2024-047</t>
  </si>
  <si>
    <t>DOC-2024-048</t>
  </si>
  <si>
    <t>DOC-2024-049</t>
  </si>
  <si>
    <t>kWh</t>
  </si>
  <si>
    <t>MJ/kWh</t>
  </si>
  <si>
    <t>DOC-2024-050</t>
  </si>
  <si>
    <t>DOC-2024-051</t>
  </si>
  <si>
    <t>DOC-2024-052</t>
  </si>
  <si>
    <t>DOC-2024-053</t>
  </si>
  <si>
    <t>DOC-2024-054</t>
  </si>
  <si>
    <t>DOC-2024-055</t>
  </si>
  <si>
    <t>DOC-2024-056</t>
  </si>
  <si>
    <t>DOC-2024-057</t>
  </si>
  <si>
    <t>DOC-2024-058</t>
  </si>
  <si>
    <t>DOC-2024-059</t>
  </si>
  <si>
    <t>DOC-2024-060</t>
  </si>
  <si>
    <t>DOC-2024-061</t>
  </si>
  <si>
    <t>스팀 (유연탄 (연료용))</t>
  </si>
  <si>
    <t>TJ</t>
  </si>
  <si>
    <t>DOC-2024-062</t>
  </si>
  <si>
    <t>DOC-2024-063</t>
  </si>
  <si>
    <t>DOC-2024-064</t>
  </si>
  <si>
    <t>DOC-2024-065</t>
  </si>
  <si>
    <t>DOC-2024-066</t>
  </si>
  <si>
    <t>DOC-2024-067</t>
  </si>
  <si>
    <t>DOC-2024-068</t>
  </si>
  <si>
    <t>DOC-2024-069</t>
  </si>
  <si>
    <t>DOC-2024-070</t>
  </si>
  <si>
    <t>DOC-2024-071</t>
  </si>
  <si>
    <t>DOC-2024-072</t>
  </si>
  <si>
    <t>DOC-2024-073</t>
  </si>
  <si>
    <t>DOC-2024-074</t>
  </si>
  <si>
    <t>DOC-2024-075</t>
  </si>
  <si>
    <t>DOC-2024-076</t>
  </si>
  <si>
    <t>DOC-2024-077</t>
  </si>
  <si>
    <t>DOC-2024-078</t>
  </si>
  <si>
    <t>DOC-2024-079</t>
  </si>
  <si>
    <t>DOC-2024-080</t>
  </si>
  <si>
    <t>DOC-2024-081</t>
  </si>
  <si>
    <t>DOC-2024-082</t>
  </si>
  <si>
    <t>DOC-2024-083</t>
  </si>
  <si>
    <t>DOC-2024-084</t>
  </si>
  <si>
    <t>DOC-2024-085</t>
  </si>
  <si>
    <t>DOC-2024-086</t>
  </si>
  <si>
    <t>DOC-2024-087</t>
  </si>
  <si>
    <t>DOC-2024-088</t>
  </si>
  <si>
    <t>DOC-2024-089</t>
  </si>
  <si>
    <t>DOC-2024-090</t>
  </si>
  <si>
    <t>DOC-2024-091</t>
  </si>
  <si>
    <t>DOC-2024-092</t>
  </si>
  <si>
    <t>DOC-2024-093</t>
  </si>
  <si>
    <t>DOC-2024-094</t>
  </si>
  <si>
    <t>DOC-2024-095</t>
  </si>
  <si>
    <t>DOC-2024-096</t>
  </si>
  <si>
    <t>DOC-2024-097</t>
  </si>
  <si>
    <t>DOC-2024-098</t>
  </si>
  <si>
    <t>DOC-2024-099</t>
  </si>
  <si>
    <t>DOC-2024-100</t>
  </si>
  <si>
    <t>DOC-2024-101</t>
  </si>
  <si>
    <t>DOC-2024-102</t>
  </si>
  <si>
    <t>DOC-2024-103</t>
  </si>
  <si>
    <t>DOC-2024-104</t>
  </si>
  <si>
    <t>DOC-2024-105</t>
  </si>
  <si>
    <t>DOC-2024-106</t>
  </si>
  <si>
    <t>DOC-2024-107</t>
  </si>
  <si>
    <t>DOC-2024-108</t>
  </si>
  <si>
    <t>DOC-2024-109</t>
  </si>
  <si>
    <t>DOC-2024-110</t>
  </si>
  <si>
    <t>DOC-2024-111</t>
  </si>
  <si>
    <t>DOC-2024-112</t>
  </si>
  <si>
    <t>DOC-2024-113</t>
  </si>
  <si>
    <t>DOC-2024-114</t>
  </si>
  <si>
    <t>DOC-2024-115</t>
  </si>
  <si>
    <t>DOC-2024-116</t>
  </si>
  <si>
    <t>DOC-2024-117</t>
  </si>
  <si>
    <t>DOC-2024-118</t>
  </si>
  <si>
    <t>DOC-2024-119</t>
  </si>
  <si>
    <t>DOC-2024-120</t>
  </si>
  <si>
    <t>DOC-2024-121</t>
  </si>
  <si>
    <t>DOC-2024-122</t>
  </si>
  <si>
    <t>DOC-2024-123</t>
  </si>
  <si>
    <t>DOC-2024-124</t>
  </si>
  <si>
    <t>DOC-2024-125</t>
  </si>
  <si>
    <t>DOC-2024-126</t>
  </si>
  <si>
    <t>DOC-2024-127</t>
  </si>
  <si>
    <t>DOC-2024-128</t>
  </si>
  <si>
    <t>DOC-2024-129</t>
  </si>
  <si>
    <t>DOC-2024-130</t>
  </si>
  <si>
    <t>DOC-2024-131</t>
  </si>
  <si>
    <t>DOC-2024-132</t>
  </si>
  <si>
    <t>DOC-2024-133</t>
  </si>
  <si>
    <t>DOC-2024-134</t>
  </si>
  <si>
    <t>DOC-2024-135</t>
  </si>
  <si>
    <t>DOC-2024-136</t>
  </si>
  <si>
    <t>DOC-2024-137</t>
  </si>
  <si>
    <t>DOC-2024-138</t>
  </si>
  <si>
    <t>DOC-2024-139</t>
  </si>
  <si>
    <t>DOC-2024-140</t>
  </si>
  <si>
    <t>DOC-2024-141</t>
  </si>
  <si>
    <t>DOC-2024-142</t>
  </si>
  <si>
    <t>DOC-2024-143</t>
  </si>
  <si>
    <t>DOC-2024-144</t>
  </si>
  <si>
    <t>DOC-2024-145</t>
  </si>
  <si>
    <t>DOC-2024-146</t>
  </si>
  <si>
    <t>DOC-2024-147</t>
  </si>
  <si>
    <t>DOC-2024-148</t>
  </si>
  <si>
    <t>DOC-2024-149</t>
  </si>
  <si>
    <t>DOC-2024-150</t>
  </si>
  <si>
    <t>DOC-2024-151</t>
  </si>
  <si>
    <t>DOC-2024-152</t>
  </si>
  <si>
    <t>DOC-2024-153</t>
  </si>
  <si>
    <t>DOC-2024-154</t>
  </si>
  <si>
    <t>DOC-2024-155</t>
  </si>
  <si>
    <t>DOC-2024-156</t>
  </si>
  <si>
    <t>DOC-2024-157</t>
  </si>
  <si>
    <t>DOC-2024-158</t>
  </si>
  <si>
    <t>DOC-2024-159</t>
  </si>
  <si>
    <t>DOC-2024-160</t>
  </si>
  <si>
    <t>DOC-2024-161</t>
  </si>
  <si>
    <t>DOC-2024-162</t>
  </si>
  <si>
    <t>DOC-2024-163</t>
  </si>
  <si>
    <t>DOC-2024-164</t>
  </si>
  <si>
    <t>DOC-2024-165</t>
  </si>
  <si>
    <t>DOC-2024-166</t>
  </si>
  <si>
    <t>DOC-2024-167</t>
  </si>
  <si>
    <t>DOC-2024-168</t>
  </si>
  <si>
    <t>DOC-2024-169</t>
  </si>
  <si>
    <t>DOC-2024-170</t>
  </si>
  <si>
    <t>DOC-2024-171</t>
  </si>
  <si>
    <t>DOC-2024-172</t>
  </si>
  <si>
    <t>DOC-2024-173</t>
  </si>
  <si>
    <t>DOC-2024-174</t>
  </si>
  <si>
    <t>DOC-2024-175</t>
  </si>
  <si>
    <t>DOC-2024-176</t>
  </si>
  <si>
    <t>DOC-2024-177</t>
  </si>
  <si>
    <t>DOC-2024-178</t>
  </si>
  <si>
    <t>DOC-2024-179</t>
  </si>
  <si>
    <t>DOC-2024-180</t>
  </si>
  <si>
    <t>DOC-2024-181</t>
  </si>
  <si>
    <t>DOC-2024-182</t>
  </si>
  <si>
    <t>DOC-2024-183</t>
  </si>
  <si>
    <t>DOC-2024-184</t>
  </si>
  <si>
    <t>DOC-2024-185</t>
  </si>
  <si>
    <t>DOC-2024-186</t>
  </si>
  <si>
    <t>DOC-2024-187</t>
  </si>
  <si>
    <t>DOC-2024-188</t>
  </si>
  <si>
    <t>DOC-2024-189</t>
  </si>
  <si>
    <t>DOC-2024-190</t>
  </si>
  <si>
    <t>DOC-2024-191</t>
  </si>
  <si>
    <t>DOC-2024-192</t>
  </si>
  <si>
    <t>DOC-2024-193</t>
  </si>
  <si>
    <t>DOC-2024-194</t>
  </si>
  <si>
    <t>DOC-2024-195</t>
  </si>
  <si>
    <t>DOC-2024-196</t>
  </si>
  <si>
    <t>DOC-2024-197</t>
  </si>
  <si>
    <t>DOC-2024-198</t>
  </si>
  <si>
    <t>DOC-2024-199</t>
  </si>
  <si>
    <t>DOC-2024-200</t>
  </si>
  <si>
    <t>DOC-2024-201</t>
  </si>
  <si>
    <t>DOC-2024-202</t>
  </si>
  <si>
    <t>DOC-2024-203</t>
  </si>
  <si>
    <t>DOC-2024-204</t>
  </si>
  <si>
    <t>DOC-2024-205</t>
  </si>
  <si>
    <t>DOC-2024-206</t>
  </si>
  <si>
    <t>DOC-2024-207</t>
  </si>
  <si>
    <t>DOC-2024-208</t>
  </si>
  <si>
    <t>DOC-2024-209</t>
  </si>
  <si>
    <t>DOC-2024-210</t>
  </si>
  <si>
    <t>DOC-2024-211</t>
  </si>
  <si>
    <t>DOC-2024-212</t>
  </si>
  <si>
    <t>DOC-2024-213</t>
  </si>
  <si>
    <t>DOC-2024-214</t>
  </si>
  <si>
    <t>DOC-2024-215</t>
  </si>
  <si>
    <t>DOC-2024-216</t>
  </si>
  <si>
    <t>DOC-2024-217</t>
  </si>
  <si>
    <t>DOC-2024-218</t>
  </si>
  <si>
    <t>DOC-2024-219</t>
  </si>
  <si>
    <t>DOC-2024-220</t>
  </si>
  <si>
    <t>DOC-2024-221</t>
  </si>
  <si>
    <t>DOC-2024-222</t>
  </si>
  <si>
    <t>DOC-2024-223</t>
  </si>
  <si>
    <t>DOC-2024-224</t>
  </si>
  <si>
    <t>DOC-2024-225</t>
  </si>
  <si>
    <t>DOC-2024-226</t>
  </si>
  <si>
    <t>DOC-2024-227</t>
  </si>
  <si>
    <t>DOC-2024-228</t>
  </si>
  <si>
    <t>DOC-2024-229</t>
  </si>
  <si>
    <t>DOC-2024-230</t>
  </si>
  <si>
    <t>DOC-2024-231</t>
  </si>
  <si>
    <t>DOC-2024-232</t>
  </si>
  <si>
    <t>DOC-2024-233</t>
  </si>
  <si>
    <t>DOC-2024-234</t>
  </si>
  <si>
    <t>DOC-2024-235</t>
  </si>
  <si>
    <t>DOC-2024-236</t>
  </si>
  <si>
    <t>DOC-2024-237</t>
  </si>
  <si>
    <t>DOC-2024-238</t>
  </si>
  <si>
    <t>DOC-2024-239</t>
  </si>
  <si>
    <t>DOC-2024-240</t>
  </si>
  <si>
    <t>DOC-2024-241</t>
  </si>
  <si>
    <t>DOC-2024-242</t>
  </si>
  <si>
    <t>DOC-2024-243</t>
  </si>
  <si>
    <t>DOC-2024-244</t>
  </si>
  <si>
    <t>DOC-2024-245</t>
  </si>
  <si>
    <t>DOC-2024-246</t>
  </si>
  <si>
    <t>DOC-2024-247</t>
  </si>
  <si>
    <t>DOC-2024-248</t>
  </si>
  <si>
    <t>DOC-2024-249</t>
  </si>
  <si>
    <t>DOC-2024-250</t>
  </si>
  <si>
    <t>DOC-2024-251</t>
  </si>
  <si>
    <t>DOC-2024-252</t>
  </si>
  <si>
    <t>DOC-2024-253</t>
  </si>
  <si>
    <t>DOC-2024-254</t>
  </si>
  <si>
    <t>DOC-2024-255</t>
  </si>
  <si>
    <t>DOC-2024-256</t>
  </si>
  <si>
    <t>DOC-2024-257</t>
  </si>
  <si>
    <t>DOC-2024-258</t>
  </si>
  <si>
    <t>DOC-2024-259</t>
  </si>
  <si>
    <t>DOC-2024-260</t>
  </si>
  <si>
    <t>DOC-2024-261</t>
  </si>
  <si>
    <t>DOC-2024-262</t>
  </si>
  <si>
    <t>DOC-2024-263</t>
  </si>
  <si>
    <t>DOC-2024-264</t>
  </si>
  <si>
    <t>DOC-2024-265</t>
  </si>
  <si>
    <t>DOC-2024-266</t>
  </si>
  <si>
    <t>DOC-2024-267</t>
  </si>
  <si>
    <t>DOC-2024-268</t>
  </si>
  <si>
    <t>DOC-2024-269</t>
  </si>
  <si>
    <t>DOC-2024-270</t>
  </si>
  <si>
    <t>DOC-2024-271</t>
  </si>
  <si>
    <t>DOC-2024-272</t>
  </si>
  <si>
    <t>DOC-2024-273</t>
  </si>
  <si>
    <t>DOC-2024-274</t>
  </si>
  <si>
    <t>DOC-2024-275</t>
  </si>
  <si>
    <t>DOC-2024-276</t>
  </si>
  <si>
    <t>DOC-2024-277</t>
  </si>
  <si>
    <t>DOC-2024-278</t>
  </si>
  <si>
    <t>DOC-2024-279</t>
  </si>
  <si>
    <t>DOC-2024-280</t>
  </si>
  <si>
    <t>DOC-2024-281</t>
  </si>
  <si>
    <t>DOC-2024-282</t>
  </si>
  <si>
    <t>DOC-2024-283</t>
  </si>
  <si>
    <t>DOC-2024-284</t>
  </si>
  <si>
    <t>DOC-2024-285</t>
  </si>
  <si>
    <t>DOC-2024-286</t>
  </si>
  <si>
    <t>DOC-2024-287</t>
  </si>
  <si>
    <t>DOC-2024-288</t>
  </si>
  <si>
    <t>slip_no</t>
  </si>
  <si>
    <t>occur_ym</t>
  </si>
  <si>
    <t>site_name</t>
  </si>
  <si>
    <t>item_name</t>
  </si>
  <si>
    <t>unit1</t>
  </si>
  <si>
    <t>item_group</t>
  </si>
  <si>
    <t>energy_usage</t>
  </si>
  <si>
    <t>unit2</t>
  </si>
  <si>
    <t>gcv</t>
  </si>
  <si>
    <t>ncv</t>
  </si>
  <si>
    <t>unit3</t>
  </si>
  <si>
    <t>ef_co2</t>
  </si>
  <si>
    <t>ef_ch4</t>
  </si>
  <si>
    <t>ef_n2o</t>
  </si>
  <si>
    <t>gwp_co2</t>
  </si>
  <si>
    <t>gwp_ch4</t>
  </si>
  <si>
    <t>gwp_n2o</t>
  </si>
  <si>
    <t>ghg_emissions</t>
  </si>
  <si>
    <t>collected_qty</t>
    <phoneticPr fontId="5" type="noConversion"/>
  </si>
  <si>
    <r>
      <rPr>
        <sz val="10"/>
        <color theme="1"/>
        <rFont val="돋움"/>
        <family val="3"/>
        <charset val="129"/>
      </rPr>
      <t>도시가스</t>
    </r>
    <r>
      <rPr>
        <sz val="10"/>
        <color theme="1"/>
        <rFont val="Google Sans"/>
      </rPr>
      <t xml:space="preserve"> (LNG)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</si>
</sst>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-mm"/>
    <numFmt numFmtId="177" formatCode="#,##0.000"/>
  </numFmts>
  <fonts count="7">
    <font>
      <sz val="11"/>
      <color theme="1"/>
      <name val="Calibri"/>
      <scheme val="minor"/>
    </font>
    <font>
      <b/>
      <sz val="11"/>
      <color rgb="FFFFFFFF"/>
      <name val="Google Sans"/>
    </font>
    <font>
      <sz val="11"/>
      <color theme="1"/>
      <name val="Google Sans"/>
    </font>
    <font>
      <sz val="10"/>
      <color theme="1"/>
      <name val="Google Sans"/>
    </font>
    <font>
      <sz val="11"/>
      <name val="Calibri"/>
      <family val="2"/>
    </font>
    <font>
      <sz val="8"/>
      <name val="Calibri"/>
      <family val="3"/>
      <charset val="129"/>
      <scheme val="minor"/>
    </font>
    <font>
      <sz val="10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A4B7C"/>
        <bgColor rgb="FF2A4B7C"/>
      </patternFill>
    </fill>
  </fills>
  <borders count="2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1D5DB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D1D5DB"/>
      </left>
      <right style="medium">
        <color rgb="FFD1D5DB"/>
      </right>
      <top style="medium">
        <color rgb="FFCCCCCC"/>
      </top>
      <bottom style="medium">
        <color rgb="FFD1D5DB"/>
      </bottom>
      <diagonal/>
    </border>
    <border>
      <left style="medium">
        <color rgb="FFCCCCCC"/>
      </left>
      <right style="medium">
        <color rgb="FFD1D5DB"/>
      </right>
      <top style="medium">
        <color rgb="FFCCCCCC"/>
      </top>
      <bottom style="medium">
        <color rgb="FFD1D5DB"/>
      </bottom>
      <diagonal/>
    </border>
    <border>
      <left style="medium">
        <color rgb="FFCCCCCC"/>
      </left>
      <right/>
      <top style="medium">
        <color rgb="FFCCCCCC"/>
      </top>
      <bottom style="medium">
        <color rgb="FFD1D5DB"/>
      </bottom>
      <diagonal/>
    </border>
    <border>
      <left style="medium">
        <color rgb="FFCCCCCC"/>
      </left>
      <right style="medium">
        <color rgb="FFD1D5DB"/>
      </right>
      <top style="medium">
        <color rgb="FFCCCCCC"/>
      </top>
      <bottom/>
      <diagonal/>
    </border>
    <border>
      <left/>
      <right style="medium">
        <color rgb="FFD1D5DB"/>
      </right>
      <top style="medium">
        <color rgb="FFCCCCCC"/>
      </top>
      <bottom/>
      <diagonal/>
    </border>
    <border>
      <left/>
      <right style="medium">
        <color rgb="FFD1D5DB"/>
      </right>
      <top/>
      <bottom/>
      <diagonal/>
    </border>
    <border>
      <left style="medium">
        <color rgb="FFCCCCCC"/>
      </left>
      <right style="medium">
        <color rgb="FFD1D5DB"/>
      </right>
      <top/>
      <bottom/>
      <diagonal/>
    </border>
    <border>
      <left/>
      <right style="medium">
        <color rgb="FFD1D5DB"/>
      </right>
      <top/>
      <bottom style="medium">
        <color rgb="FFD1D5DB"/>
      </bottom>
      <diagonal/>
    </border>
    <border>
      <left style="medium">
        <color rgb="FFCCCCCC"/>
      </left>
      <right style="medium">
        <color rgb="FFD1D5DB"/>
      </right>
      <top/>
      <bottom style="medium">
        <color rgb="FFD1D5DB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D1D5DB"/>
      </right>
      <top style="medium">
        <color rgb="FFCCCCCC"/>
      </top>
      <bottom style="medium">
        <color rgb="FFD1D5DB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/>
      <top/>
      <bottom style="medium">
        <color rgb="FFD1D5DB"/>
      </bottom>
      <diagonal/>
    </border>
    <border>
      <left/>
      <right/>
      <top/>
      <bottom style="medium">
        <color rgb="FFD1D5DB"/>
      </bottom>
      <diagonal/>
    </border>
    <border>
      <left style="medium">
        <color rgb="FFD1D5DB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2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76" fontId="3" fillId="2" borderId="4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4" fontId="3" fillId="2" borderId="4" xfId="0" applyNumberFormat="1" applyFont="1" applyFill="1" applyBorder="1" applyAlignment="1">
      <alignment horizontal="right" vertical="center" wrapText="1"/>
    </xf>
    <xf numFmtId="0" fontId="3" fillId="2" borderId="5" xfId="0" applyFont="1" applyFill="1" applyBorder="1" applyAlignment="1">
      <alignment horizontal="center" vertical="center" wrapText="1"/>
    </xf>
    <xf numFmtId="4" fontId="3" fillId="2" borderId="6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4" fontId="3" fillId="2" borderId="11" xfId="0" applyNumberFormat="1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4" fontId="3" fillId="2" borderId="14" xfId="0" applyNumberFormat="1" applyFont="1" applyFill="1" applyBorder="1" applyAlignment="1">
      <alignment horizontal="right" vertical="center" wrapText="1"/>
    </xf>
    <xf numFmtId="4" fontId="3" fillId="2" borderId="4" xfId="0" applyNumberFormat="1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176" fontId="3" fillId="2" borderId="6" xfId="0" applyNumberFormat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19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12" xfId="0" applyFont="1" applyFill="1" applyBorder="1" applyAlignment="1">
      <alignment vertical="center" wrapText="1"/>
    </xf>
    <xf numFmtId="3" fontId="3" fillId="2" borderId="6" xfId="0" applyNumberFormat="1" applyFont="1" applyFill="1" applyBorder="1" applyAlignment="1">
      <alignment horizontal="right" vertical="center" wrapText="1"/>
    </xf>
    <xf numFmtId="0" fontId="4" fillId="0" borderId="9" xfId="0" applyFont="1" applyBorder="1"/>
    <xf numFmtId="0" fontId="4" fillId="0" borderId="11" xfId="0" applyFont="1" applyBorder="1"/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4" fillId="0" borderId="15" xfId="0" applyFont="1" applyBorder="1"/>
    <xf numFmtId="0" fontId="4" fillId="0" borderId="16" xfId="0" applyFont="1" applyBorder="1"/>
    <xf numFmtId="3" fontId="3" fillId="2" borderId="13" xfId="0" applyNumberFormat="1" applyFont="1" applyFill="1" applyBorder="1" applyAlignment="1">
      <alignment horizontal="center" vertical="center" wrapText="1"/>
    </xf>
    <xf numFmtId="0" fontId="0" fillId="0" borderId="0" xfId="0" applyFont="1" applyAlignment="1"/>
    <xf numFmtId="0" fontId="4" fillId="0" borderId="17" xfId="0" applyFont="1" applyBorder="1"/>
    <xf numFmtId="0" fontId="3" fillId="2" borderId="13" xfId="0" applyFont="1" applyFill="1" applyBorder="1" applyAlignment="1">
      <alignment horizontal="center" vertical="center" wrapText="1"/>
    </xf>
    <xf numFmtId="0" fontId="4" fillId="0" borderId="13" xfId="0" applyFont="1" applyBorder="1"/>
    <xf numFmtId="3" fontId="3" fillId="2" borderId="6" xfId="0" applyNumberFormat="1" applyFont="1" applyFill="1" applyBorder="1" applyAlignment="1">
      <alignment horizontal="center" vertical="center" wrapText="1"/>
    </xf>
    <xf numFmtId="3" fontId="3" fillId="2" borderId="7" xfId="0" applyNumberFormat="1" applyFont="1" applyFill="1" applyBorder="1" applyAlignment="1">
      <alignment horizontal="center" vertical="center" wrapText="1"/>
    </xf>
    <xf numFmtId="0" fontId="4" fillId="0" borderId="8" xfId="0" applyFont="1" applyBorder="1"/>
    <xf numFmtId="0" fontId="4" fillId="0" borderId="10" xfId="0" applyFont="1" applyBorder="1"/>
    <xf numFmtId="177" fontId="3" fillId="2" borderId="7" xfId="0" applyNumberFormat="1" applyFont="1" applyFill="1" applyBorder="1" applyAlignment="1">
      <alignment horizontal="center" vertical="center" wrapText="1"/>
    </xf>
    <xf numFmtId="177" fontId="3" fillId="2" borderId="6" xfId="0" applyNumberFormat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95"/>
  <sheetViews>
    <sheetView tabSelected="1" workbookViewId="0">
      <pane ySplit="1" topLeftCell="A2" activePane="bottomLeft" state="frozen"/>
      <selection pane="bottomLeft" activeCell="D77" sqref="D77"/>
    </sheetView>
  </sheetViews>
  <sheetFormatPr defaultColWidth="14.44140625" defaultRowHeight="15" customHeight="1"/>
  <cols>
    <col min="1" max="1" width="21.21875" bestFit="1" customWidth="1"/>
    <col min="2" max="3" width="18.6640625" customWidth="1"/>
    <col min="4" max="4" width="28" customWidth="1"/>
    <col min="5" max="7" width="18.6640625" customWidth="1"/>
    <col min="8" max="8" width="21.5546875" customWidth="1"/>
    <col min="9" max="9" width="6.6640625" customWidth="1"/>
    <col min="10" max="10" width="21" customWidth="1"/>
    <col min="11" max="11" width="18.6640625" customWidth="1"/>
    <col min="12" max="12" width="21.88671875" customWidth="1"/>
    <col min="13" max="13" width="18.6640625" customWidth="1"/>
    <col min="14" max="14" width="19.6640625" customWidth="1"/>
    <col min="15" max="15" width="18.6640625" customWidth="1"/>
    <col min="16" max="19" width="20.109375" customWidth="1"/>
  </cols>
  <sheetData>
    <row r="1" spans="1:34" ht="16.5" customHeight="1" thickBot="1">
      <c r="A1" s="2" t="s">
        <v>312</v>
      </c>
      <c r="B1" s="2" t="s">
        <v>313</v>
      </c>
      <c r="C1" s="2" t="s">
        <v>314</v>
      </c>
      <c r="D1" s="2" t="s">
        <v>315</v>
      </c>
      <c r="E1" s="2" t="s">
        <v>330</v>
      </c>
      <c r="F1" s="2" t="s">
        <v>316</v>
      </c>
      <c r="G1" s="2" t="s">
        <v>317</v>
      </c>
      <c r="H1" s="3" t="s">
        <v>318</v>
      </c>
      <c r="I1" s="3" t="s">
        <v>319</v>
      </c>
      <c r="J1" s="2" t="s">
        <v>320</v>
      </c>
      <c r="K1" s="2" t="s">
        <v>321</v>
      </c>
      <c r="L1" s="2" t="s">
        <v>322</v>
      </c>
      <c r="M1" s="2" t="s">
        <v>323</v>
      </c>
      <c r="N1" s="2" t="s">
        <v>324</v>
      </c>
      <c r="O1" s="2" t="s">
        <v>325</v>
      </c>
      <c r="P1" s="2" t="s">
        <v>326</v>
      </c>
      <c r="Q1" s="2" t="s">
        <v>327</v>
      </c>
      <c r="R1" s="2" t="s">
        <v>328</v>
      </c>
      <c r="S1" s="2" t="s">
        <v>329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6.5" customHeight="1" thickBot="1">
      <c r="A2" s="4" t="s">
        <v>13</v>
      </c>
      <c r="B2" s="5">
        <v>45292</v>
      </c>
      <c r="C2" s="6" t="s">
        <v>0</v>
      </c>
      <c r="D2" s="6" t="s">
        <v>331</v>
      </c>
      <c r="E2" s="7">
        <v>1107692</v>
      </c>
      <c r="F2" s="6" t="s">
        <v>1</v>
      </c>
      <c r="G2" s="8" t="s">
        <v>2</v>
      </c>
      <c r="H2" s="9">
        <f>E2/$J$2</f>
        <v>25700.510440835267</v>
      </c>
      <c r="I2" s="17" t="s">
        <v>14</v>
      </c>
      <c r="J2" s="41">
        <v>43.1</v>
      </c>
      <c r="K2" s="26">
        <v>38.9</v>
      </c>
      <c r="L2" s="26" t="s">
        <v>15</v>
      </c>
      <c r="M2" s="35">
        <v>56100</v>
      </c>
      <c r="N2" s="26">
        <v>1</v>
      </c>
      <c r="O2" s="26">
        <v>0.1</v>
      </c>
      <c r="P2" s="23">
        <v>1</v>
      </c>
      <c r="Q2" s="23">
        <v>21</v>
      </c>
      <c r="R2" s="23">
        <v>310</v>
      </c>
      <c r="S2" s="7">
        <f>((H2*$K$2*$M$2*$P$2)+(H2*$K$2*$N$2*$Q$2)+(H2*$K$2*$O$2*$R$2))*10^-6</f>
        <v>56137.953922450106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16.5" customHeight="1" thickBot="1">
      <c r="A3" s="4" t="s">
        <v>16</v>
      </c>
      <c r="B3" s="5">
        <v>45323</v>
      </c>
      <c r="C3" s="6" t="s">
        <v>0</v>
      </c>
      <c r="D3" s="6" t="s">
        <v>331</v>
      </c>
      <c r="E3" s="7">
        <v>1021907.5</v>
      </c>
      <c r="F3" s="6" t="s">
        <v>1</v>
      </c>
      <c r="G3" s="8" t="s">
        <v>2</v>
      </c>
      <c r="H3" s="9">
        <f t="shared" ref="H3:H13" si="0">E3/$J$2</f>
        <v>23710.150812064963</v>
      </c>
      <c r="I3" s="17" t="s">
        <v>14</v>
      </c>
      <c r="J3" s="37"/>
      <c r="K3" s="24"/>
      <c r="L3" s="24"/>
      <c r="M3" s="24"/>
      <c r="N3" s="24"/>
      <c r="O3" s="24"/>
      <c r="P3" s="24"/>
      <c r="Q3" s="24"/>
      <c r="R3" s="24"/>
      <c r="S3" s="7">
        <f>((H3*$K$2*$M$2*$P$2)+(H3*$K$2*$N$2*$Q$2)+(H3*$K$2*$O$2*$R$2))*10^-6</f>
        <v>51790.385908723889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6.5" customHeight="1" thickBot="1">
      <c r="A4" s="4" t="s">
        <v>17</v>
      </c>
      <c r="B4" s="5">
        <v>45352</v>
      </c>
      <c r="C4" s="6" t="s">
        <v>0</v>
      </c>
      <c r="D4" s="6" t="s">
        <v>331</v>
      </c>
      <c r="E4" s="7">
        <v>993770.5</v>
      </c>
      <c r="F4" s="6" t="s">
        <v>1</v>
      </c>
      <c r="G4" s="8" t="s">
        <v>2</v>
      </c>
      <c r="H4" s="9">
        <f t="shared" si="0"/>
        <v>23057.320185614848</v>
      </c>
      <c r="I4" s="17" t="s">
        <v>14</v>
      </c>
      <c r="J4" s="37"/>
      <c r="K4" s="24"/>
      <c r="L4" s="24"/>
      <c r="M4" s="24"/>
      <c r="N4" s="24"/>
      <c r="O4" s="24"/>
      <c r="P4" s="24"/>
      <c r="Q4" s="24"/>
      <c r="R4" s="24"/>
      <c r="S4" s="7">
        <f t="shared" ref="S4:S13" si="1">((H4*$K$2*$M$2*$P$2)+(H4*$K$2*$N$2*$Q$2)+(H4*$K$2*$O$2*$R$2))*10^-6</f>
        <v>50364.399615136885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16.5" customHeight="1" thickBot="1">
      <c r="A5" s="4" t="s">
        <v>18</v>
      </c>
      <c r="B5" s="5">
        <v>45383</v>
      </c>
      <c r="C5" s="6" t="s">
        <v>0</v>
      </c>
      <c r="D5" s="6" t="s">
        <v>331</v>
      </c>
      <c r="E5" s="7">
        <v>1077481</v>
      </c>
      <c r="F5" s="6" t="s">
        <v>1</v>
      </c>
      <c r="G5" s="8" t="s">
        <v>2</v>
      </c>
      <c r="H5" s="9">
        <f>E5/$J$2</f>
        <v>24999.559164733178</v>
      </c>
      <c r="I5" s="17" t="s">
        <v>14</v>
      </c>
      <c r="J5" s="37"/>
      <c r="K5" s="24"/>
      <c r="L5" s="24"/>
      <c r="M5" s="24"/>
      <c r="N5" s="24"/>
      <c r="O5" s="24"/>
      <c r="P5" s="24"/>
      <c r="Q5" s="24"/>
      <c r="R5" s="24"/>
      <c r="S5" s="7">
        <f t="shared" si="1"/>
        <v>54606.857077883986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16.5" customHeight="1" thickBot="1">
      <c r="A6" s="4" t="s">
        <v>19</v>
      </c>
      <c r="B6" s="5">
        <v>45413</v>
      </c>
      <c r="C6" s="6" t="s">
        <v>0</v>
      </c>
      <c r="D6" s="6" t="s">
        <v>331</v>
      </c>
      <c r="E6" s="7">
        <v>937146.5</v>
      </c>
      <c r="F6" s="6" t="s">
        <v>1</v>
      </c>
      <c r="G6" s="8" t="s">
        <v>2</v>
      </c>
      <c r="H6" s="9">
        <f t="shared" si="0"/>
        <v>21743.538283062644</v>
      </c>
      <c r="I6" s="17" t="s">
        <v>14</v>
      </c>
      <c r="J6" s="37"/>
      <c r="K6" s="24"/>
      <c r="L6" s="24"/>
      <c r="M6" s="24"/>
      <c r="N6" s="24"/>
      <c r="O6" s="24"/>
      <c r="P6" s="24"/>
      <c r="Q6" s="24"/>
      <c r="R6" s="24"/>
      <c r="S6" s="7">
        <f t="shared" si="1"/>
        <v>47494.688988983748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16.5" customHeight="1" thickBot="1">
      <c r="A7" s="4" t="s">
        <v>20</v>
      </c>
      <c r="B7" s="5">
        <v>45444</v>
      </c>
      <c r="C7" s="6" t="s">
        <v>0</v>
      </c>
      <c r="D7" s="6" t="s">
        <v>331</v>
      </c>
      <c r="E7" s="7">
        <v>1157703.5</v>
      </c>
      <c r="F7" s="6" t="s">
        <v>1</v>
      </c>
      <c r="G7" s="8" t="s">
        <v>2</v>
      </c>
      <c r="H7" s="9">
        <f t="shared" si="0"/>
        <v>26860.870069605568</v>
      </c>
      <c r="I7" s="17" t="s">
        <v>14</v>
      </c>
      <c r="J7" s="37"/>
      <c r="K7" s="24"/>
      <c r="L7" s="24"/>
      <c r="M7" s="24"/>
      <c r="N7" s="24"/>
      <c r="O7" s="24"/>
      <c r="P7" s="24"/>
      <c r="Q7" s="24"/>
      <c r="R7" s="24"/>
      <c r="S7" s="7">
        <f t="shared" si="1"/>
        <v>58672.542312176323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16.5" customHeight="1" thickBot="1">
      <c r="A8" s="4" t="s">
        <v>21</v>
      </c>
      <c r="B8" s="5">
        <v>45474</v>
      </c>
      <c r="C8" s="6" t="s">
        <v>0</v>
      </c>
      <c r="D8" s="6" t="s">
        <v>331</v>
      </c>
      <c r="E8" s="7">
        <v>997142.5</v>
      </c>
      <c r="F8" s="6" t="s">
        <v>1</v>
      </c>
      <c r="G8" s="8" t="s">
        <v>2</v>
      </c>
      <c r="H8" s="9">
        <f t="shared" si="0"/>
        <v>23135.556844547562</v>
      </c>
      <c r="I8" s="17" t="s">
        <v>14</v>
      </c>
      <c r="J8" s="37"/>
      <c r="K8" s="24"/>
      <c r="L8" s="24"/>
      <c r="M8" s="24"/>
      <c r="N8" s="24"/>
      <c r="O8" s="24"/>
      <c r="P8" s="24"/>
      <c r="Q8" s="24"/>
      <c r="R8" s="24"/>
      <c r="S8" s="7">
        <f t="shared" si="1"/>
        <v>50535.292950672847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ht="16.5" customHeight="1" thickBot="1">
      <c r="A9" s="4" t="s">
        <v>22</v>
      </c>
      <c r="B9" s="5">
        <v>45505</v>
      </c>
      <c r="C9" s="6" t="s">
        <v>0</v>
      </c>
      <c r="D9" s="6" t="s">
        <v>331</v>
      </c>
      <c r="E9" s="7">
        <v>1102068</v>
      </c>
      <c r="F9" s="6" t="s">
        <v>1</v>
      </c>
      <c r="G9" s="8" t="s">
        <v>2</v>
      </c>
      <c r="H9" s="9">
        <f t="shared" si="0"/>
        <v>25570.023201856147</v>
      </c>
      <c r="I9" s="17" t="s">
        <v>14</v>
      </c>
      <c r="J9" s="37"/>
      <c r="K9" s="24"/>
      <c r="L9" s="24"/>
      <c r="M9" s="24"/>
      <c r="N9" s="24"/>
      <c r="O9" s="24"/>
      <c r="P9" s="24"/>
      <c r="Q9" s="24"/>
      <c r="R9" s="24"/>
      <c r="S9" s="7">
        <f t="shared" si="1"/>
        <v>55852.928976111361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16.5" customHeight="1" thickBot="1">
      <c r="A10" s="4" t="s">
        <v>23</v>
      </c>
      <c r="B10" s="5">
        <v>45536</v>
      </c>
      <c r="C10" s="6" t="s">
        <v>0</v>
      </c>
      <c r="D10" s="6" t="s">
        <v>331</v>
      </c>
      <c r="E10" s="7">
        <v>929817</v>
      </c>
      <c r="F10" s="6" t="s">
        <v>1</v>
      </c>
      <c r="G10" s="8" t="s">
        <v>2</v>
      </c>
      <c r="H10" s="9">
        <f t="shared" si="0"/>
        <v>21573.480278422274</v>
      </c>
      <c r="I10" s="17" t="s">
        <v>14</v>
      </c>
      <c r="J10" s="37"/>
      <c r="K10" s="24"/>
      <c r="L10" s="24"/>
      <c r="M10" s="24"/>
      <c r="N10" s="24"/>
      <c r="O10" s="24"/>
      <c r="P10" s="24"/>
      <c r="Q10" s="24"/>
      <c r="R10" s="24"/>
      <c r="S10" s="7">
        <f t="shared" si="1"/>
        <v>47123.229112705332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16.5" customHeight="1" thickBot="1">
      <c r="A11" s="4" t="s">
        <v>24</v>
      </c>
      <c r="B11" s="5">
        <v>45566</v>
      </c>
      <c r="C11" s="6" t="s">
        <v>0</v>
      </c>
      <c r="D11" s="6" t="s">
        <v>331</v>
      </c>
      <c r="E11" s="7">
        <v>902186</v>
      </c>
      <c r="F11" s="6" t="s">
        <v>1</v>
      </c>
      <c r="G11" s="8" t="s">
        <v>2</v>
      </c>
      <c r="H11" s="9">
        <f t="shared" si="0"/>
        <v>20932.389791183294</v>
      </c>
      <c r="I11" s="17" t="s">
        <v>14</v>
      </c>
      <c r="J11" s="37"/>
      <c r="K11" s="24"/>
      <c r="L11" s="24"/>
      <c r="M11" s="24"/>
      <c r="N11" s="24"/>
      <c r="O11" s="24"/>
      <c r="P11" s="24"/>
      <c r="Q11" s="24"/>
      <c r="R11" s="24"/>
      <c r="S11" s="7">
        <f t="shared" si="1"/>
        <v>45722.886955470996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ht="16.5" customHeight="1" thickBot="1">
      <c r="A12" s="4" t="s">
        <v>25</v>
      </c>
      <c r="B12" s="5">
        <v>45597</v>
      </c>
      <c r="C12" s="6" t="s">
        <v>0</v>
      </c>
      <c r="D12" s="6" t="s">
        <v>331</v>
      </c>
      <c r="E12" s="7">
        <v>821425.5</v>
      </c>
      <c r="F12" s="6" t="s">
        <v>1</v>
      </c>
      <c r="G12" s="8" t="s">
        <v>2</v>
      </c>
      <c r="H12" s="9">
        <f t="shared" si="0"/>
        <v>19058.596287703014</v>
      </c>
      <c r="I12" s="17" t="s">
        <v>14</v>
      </c>
      <c r="J12" s="37"/>
      <c r="K12" s="24"/>
      <c r="L12" s="24"/>
      <c r="M12" s="24"/>
      <c r="N12" s="24"/>
      <c r="O12" s="24"/>
      <c r="P12" s="24"/>
      <c r="Q12" s="24"/>
      <c r="R12" s="24"/>
      <c r="S12" s="7">
        <f t="shared" si="1"/>
        <v>41629.935821262181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16.5" customHeight="1" thickBot="1">
      <c r="A13" s="4" t="s">
        <v>26</v>
      </c>
      <c r="B13" s="5">
        <v>45627</v>
      </c>
      <c r="C13" s="6" t="s">
        <v>0</v>
      </c>
      <c r="D13" s="6" t="s">
        <v>331</v>
      </c>
      <c r="E13" s="7">
        <v>972694.5</v>
      </c>
      <c r="F13" s="6" t="s">
        <v>1</v>
      </c>
      <c r="G13" s="8" t="s">
        <v>2</v>
      </c>
      <c r="H13" s="9">
        <f t="shared" si="0"/>
        <v>22568.317865429235</v>
      </c>
      <c r="I13" s="17" t="s">
        <v>14</v>
      </c>
      <c r="J13" s="38"/>
      <c r="K13" s="25"/>
      <c r="L13" s="25"/>
      <c r="M13" s="25"/>
      <c r="N13" s="25"/>
      <c r="O13" s="25"/>
      <c r="P13" s="25"/>
      <c r="Q13" s="25"/>
      <c r="R13" s="25"/>
      <c r="S13" s="7">
        <f t="shared" si="1"/>
        <v>49296.265587925751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ht="16.5" customHeight="1" thickBot="1">
      <c r="A14" s="4" t="s">
        <v>27</v>
      </c>
      <c r="B14" s="5">
        <v>45292</v>
      </c>
      <c r="C14" s="6" t="s">
        <v>0</v>
      </c>
      <c r="D14" s="6" t="s">
        <v>6</v>
      </c>
      <c r="E14" s="7">
        <v>756</v>
      </c>
      <c r="F14" s="6" t="s">
        <v>1</v>
      </c>
      <c r="G14" s="6" t="s">
        <v>2</v>
      </c>
      <c r="H14" s="11">
        <f t="shared" ref="H14:H25" si="2">E14/$J$14</f>
        <v>23.11926605504587</v>
      </c>
      <c r="I14" s="18" t="s">
        <v>28</v>
      </c>
      <c r="J14" s="26">
        <v>32.700000000000003</v>
      </c>
      <c r="K14" s="26">
        <v>30.4</v>
      </c>
      <c r="L14" s="26" t="s">
        <v>29</v>
      </c>
      <c r="M14" s="35">
        <v>69300</v>
      </c>
      <c r="N14" s="35">
        <v>25</v>
      </c>
      <c r="O14" s="35">
        <v>8</v>
      </c>
      <c r="P14" s="23">
        <v>1</v>
      </c>
      <c r="Q14" s="23">
        <v>21</v>
      </c>
      <c r="R14" s="23">
        <v>310</v>
      </c>
      <c r="S14" s="7">
        <f t="shared" ref="S14:S25" si="3">((H14*$K$14*$M$14*$P$14)+(H14*$K$14*$N$14*$Q$14)+(H14*$K$14*$O$14*$R$14))*10^-6</f>
        <v>50.817811376146778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16.5" customHeight="1" thickBot="1">
      <c r="A15" s="4" t="s">
        <v>30</v>
      </c>
      <c r="B15" s="5">
        <v>45323</v>
      </c>
      <c r="C15" s="6" t="s">
        <v>0</v>
      </c>
      <c r="D15" s="6" t="s">
        <v>6</v>
      </c>
      <c r="E15" s="7">
        <v>692</v>
      </c>
      <c r="F15" s="6" t="s">
        <v>1</v>
      </c>
      <c r="G15" s="6" t="s">
        <v>2</v>
      </c>
      <c r="H15" s="11">
        <f t="shared" si="2"/>
        <v>21.162079510703361</v>
      </c>
      <c r="I15" s="18" t="s">
        <v>28</v>
      </c>
      <c r="J15" s="24"/>
      <c r="K15" s="24"/>
      <c r="L15" s="24"/>
      <c r="M15" s="24"/>
      <c r="N15" s="24"/>
      <c r="O15" s="24"/>
      <c r="P15" s="24"/>
      <c r="Q15" s="24"/>
      <c r="R15" s="24"/>
      <c r="S15" s="7">
        <f t="shared" si="3"/>
        <v>46.515774434250758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16.5" customHeight="1" thickBot="1">
      <c r="A16" s="4" t="s">
        <v>31</v>
      </c>
      <c r="B16" s="5">
        <v>45352</v>
      </c>
      <c r="C16" s="6" t="s">
        <v>0</v>
      </c>
      <c r="D16" s="6" t="s">
        <v>6</v>
      </c>
      <c r="E16" s="7">
        <v>647.5</v>
      </c>
      <c r="F16" s="6" t="s">
        <v>1</v>
      </c>
      <c r="G16" s="6" t="s">
        <v>2</v>
      </c>
      <c r="H16" s="11">
        <f t="shared" si="2"/>
        <v>19.801223241590211</v>
      </c>
      <c r="I16" s="18" t="s">
        <v>28</v>
      </c>
      <c r="J16" s="24"/>
      <c r="K16" s="24"/>
      <c r="L16" s="24"/>
      <c r="M16" s="24"/>
      <c r="N16" s="24"/>
      <c r="O16" s="24"/>
      <c r="P16" s="24"/>
      <c r="Q16" s="24"/>
      <c r="R16" s="24"/>
      <c r="S16" s="7">
        <f t="shared" si="3"/>
        <v>43.524514373088671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ht="16.5" customHeight="1" thickBot="1">
      <c r="A17" s="4" t="s">
        <v>32</v>
      </c>
      <c r="B17" s="5">
        <v>45383</v>
      </c>
      <c r="C17" s="6" t="s">
        <v>0</v>
      </c>
      <c r="D17" s="6" t="s">
        <v>6</v>
      </c>
      <c r="E17" s="7">
        <v>731</v>
      </c>
      <c r="F17" s="6" t="s">
        <v>1</v>
      </c>
      <c r="G17" s="6" t="s">
        <v>2</v>
      </c>
      <c r="H17" s="11">
        <f t="shared" si="2"/>
        <v>22.354740061162076</v>
      </c>
      <c r="I17" s="18" t="s">
        <v>28</v>
      </c>
      <c r="J17" s="24"/>
      <c r="K17" s="24"/>
      <c r="L17" s="24"/>
      <c r="M17" s="24"/>
      <c r="N17" s="24"/>
      <c r="O17" s="24"/>
      <c r="P17" s="24"/>
      <c r="Q17" s="24"/>
      <c r="R17" s="24"/>
      <c r="S17" s="7">
        <f t="shared" si="3"/>
        <v>49.137328195718645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ht="16.5" customHeight="1" thickBot="1">
      <c r="A18" s="4" t="s">
        <v>33</v>
      </c>
      <c r="B18" s="5">
        <v>45413</v>
      </c>
      <c r="C18" s="6" t="s">
        <v>0</v>
      </c>
      <c r="D18" s="6" t="s">
        <v>6</v>
      </c>
      <c r="E18" s="7">
        <v>592</v>
      </c>
      <c r="F18" s="6" t="s">
        <v>1</v>
      </c>
      <c r="G18" s="6" t="s">
        <v>2</v>
      </c>
      <c r="H18" s="11">
        <f t="shared" si="2"/>
        <v>18.103975535168193</v>
      </c>
      <c r="I18" s="18" t="s">
        <v>28</v>
      </c>
      <c r="J18" s="24"/>
      <c r="K18" s="24"/>
      <c r="L18" s="24"/>
      <c r="M18" s="24"/>
      <c r="N18" s="24"/>
      <c r="O18" s="24"/>
      <c r="P18" s="24"/>
      <c r="Q18" s="24"/>
      <c r="R18" s="24"/>
      <c r="S18" s="7">
        <f t="shared" si="3"/>
        <v>39.793841712538217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ht="16.5" customHeight="1" thickBot="1">
      <c r="A19" s="4" t="s">
        <v>34</v>
      </c>
      <c r="B19" s="5">
        <v>45444</v>
      </c>
      <c r="C19" s="6" t="s">
        <v>0</v>
      </c>
      <c r="D19" s="6" t="s">
        <v>6</v>
      </c>
      <c r="E19" s="7">
        <v>796</v>
      </c>
      <c r="F19" s="6" t="s">
        <v>1</v>
      </c>
      <c r="G19" s="6" t="s">
        <v>2</v>
      </c>
      <c r="H19" s="11">
        <f t="shared" si="2"/>
        <v>24.342507645259936</v>
      </c>
      <c r="I19" s="18" t="s">
        <v>28</v>
      </c>
      <c r="J19" s="24"/>
      <c r="K19" s="24"/>
      <c r="L19" s="24"/>
      <c r="M19" s="24"/>
      <c r="N19" s="24"/>
      <c r="O19" s="24"/>
      <c r="P19" s="24"/>
      <c r="Q19" s="24"/>
      <c r="R19" s="24"/>
      <c r="S19" s="7">
        <f t="shared" si="3"/>
        <v>53.506584464831789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ht="16.5" customHeight="1" thickBot="1">
      <c r="A20" s="4" t="s">
        <v>35</v>
      </c>
      <c r="B20" s="5">
        <v>45474</v>
      </c>
      <c r="C20" s="6" t="s">
        <v>0</v>
      </c>
      <c r="D20" s="6" t="s">
        <v>6</v>
      </c>
      <c r="E20" s="7">
        <v>670.5</v>
      </c>
      <c r="F20" s="6" t="s">
        <v>1</v>
      </c>
      <c r="G20" s="6" t="s">
        <v>2</v>
      </c>
      <c r="H20" s="11">
        <f t="shared" si="2"/>
        <v>20.5045871559633</v>
      </c>
      <c r="I20" s="18" t="s">
        <v>28</v>
      </c>
      <c r="J20" s="24"/>
      <c r="K20" s="24"/>
      <c r="L20" s="24"/>
      <c r="M20" s="24"/>
      <c r="N20" s="24"/>
      <c r="O20" s="24"/>
      <c r="P20" s="24"/>
      <c r="Q20" s="24"/>
      <c r="R20" s="24"/>
      <c r="S20" s="7">
        <f t="shared" si="3"/>
        <v>45.070558899082556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ht="16.5" customHeight="1" thickBot="1">
      <c r="A21" s="4" t="s">
        <v>36</v>
      </c>
      <c r="B21" s="5">
        <v>45505</v>
      </c>
      <c r="C21" s="6" t="s">
        <v>0</v>
      </c>
      <c r="D21" s="6" t="s">
        <v>6</v>
      </c>
      <c r="E21" s="7">
        <v>749</v>
      </c>
      <c r="F21" s="6" t="s">
        <v>1</v>
      </c>
      <c r="G21" s="6" t="s">
        <v>2</v>
      </c>
      <c r="H21" s="11">
        <f t="shared" si="2"/>
        <v>22.905198776758407</v>
      </c>
      <c r="I21" s="18" t="s">
        <v>28</v>
      </c>
      <c r="J21" s="24"/>
      <c r="K21" s="24"/>
      <c r="L21" s="24"/>
      <c r="M21" s="24"/>
      <c r="N21" s="24"/>
      <c r="O21" s="24"/>
      <c r="P21" s="24"/>
      <c r="Q21" s="24"/>
      <c r="R21" s="24"/>
      <c r="S21" s="7">
        <f t="shared" si="3"/>
        <v>50.347276085626895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ht="16.5" customHeight="1" thickBot="1">
      <c r="A22" s="4" t="s">
        <v>37</v>
      </c>
      <c r="B22" s="5">
        <v>45536</v>
      </c>
      <c r="C22" s="6" t="s">
        <v>0</v>
      </c>
      <c r="D22" s="6" t="s">
        <v>6</v>
      </c>
      <c r="E22" s="7">
        <v>602.5</v>
      </c>
      <c r="F22" s="6" t="s">
        <v>1</v>
      </c>
      <c r="G22" s="6" t="s">
        <v>2</v>
      </c>
      <c r="H22" s="11">
        <f t="shared" si="2"/>
        <v>18.425076452599388</v>
      </c>
      <c r="I22" s="18" t="s">
        <v>28</v>
      </c>
      <c r="J22" s="24"/>
      <c r="K22" s="24"/>
      <c r="L22" s="24"/>
      <c r="M22" s="24"/>
      <c r="N22" s="24"/>
      <c r="O22" s="24"/>
      <c r="P22" s="24"/>
      <c r="Q22" s="24"/>
      <c r="R22" s="24"/>
      <c r="S22" s="7">
        <f t="shared" si="3"/>
        <v>40.499644648318025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ht="16.5" customHeight="1" thickBot="1">
      <c r="A23" s="4" t="s">
        <v>38</v>
      </c>
      <c r="B23" s="5">
        <v>45566</v>
      </c>
      <c r="C23" s="6" t="s">
        <v>0</v>
      </c>
      <c r="D23" s="6" t="s">
        <v>6</v>
      </c>
      <c r="E23" s="7">
        <v>706</v>
      </c>
      <c r="F23" s="6" t="s">
        <v>1</v>
      </c>
      <c r="G23" s="6" t="s">
        <v>2</v>
      </c>
      <c r="H23" s="11">
        <f t="shared" si="2"/>
        <v>21.590214067278286</v>
      </c>
      <c r="I23" s="18" t="s">
        <v>28</v>
      </c>
      <c r="J23" s="24"/>
      <c r="K23" s="24"/>
      <c r="L23" s="24"/>
      <c r="M23" s="24"/>
      <c r="N23" s="24"/>
      <c r="O23" s="24"/>
      <c r="P23" s="24"/>
      <c r="Q23" s="24"/>
      <c r="R23" s="24"/>
      <c r="S23" s="7">
        <f t="shared" si="3"/>
        <v>47.456845015290511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ht="16.5" customHeight="1" thickBot="1">
      <c r="A24" s="4" t="s">
        <v>39</v>
      </c>
      <c r="B24" s="5">
        <v>45597</v>
      </c>
      <c r="C24" s="6" t="s">
        <v>0</v>
      </c>
      <c r="D24" s="6" t="s">
        <v>6</v>
      </c>
      <c r="E24" s="7">
        <v>742.5</v>
      </c>
      <c r="F24" s="6" t="s">
        <v>1</v>
      </c>
      <c r="G24" s="6" t="s">
        <v>2</v>
      </c>
      <c r="H24" s="11">
        <f t="shared" si="2"/>
        <v>22.706422018348622</v>
      </c>
      <c r="I24" s="18" t="s">
        <v>28</v>
      </c>
      <c r="J24" s="24"/>
      <c r="K24" s="24"/>
      <c r="L24" s="24"/>
      <c r="M24" s="24"/>
      <c r="N24" s="24"/>
      <c r="O24" s="24"/>
      <c r="P24" s="24"/>
      <c r="Q24" s="24"/>
      <c r="R24" s="24"/>
      <c r="S24" s="7">
        <f t="shared" si="3"/>
        <v>49.910350458715584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ht="16.5" customHeight="1" thickBot="1">
      <c r="A25" s="4" t="s">
        <v>40</v>
      </c>
      <c r="B25" s="5">
        <v>45627</v>
      </c>
      <c r="C25" s="6" t="s">
        <v>0</v>
      </c>
      <c r="D25" s="6" t="s">
        <v>6</v>
      </c>
      <c r="E25" s="7">
        <v>767</v>
      </c>
      <c r="F25" s="6" t="s">
        <v>1</v>
      </c>
      <c r="G25" s="6" t="s">
        <v>2</v>
      </c>
      <c r="H25" s="11">
        <f t="shared" si="2"/>
        <v>23.455657492354739</v>
      </c>
      <c r="I25" s="18" t="s">
        <v>28</v>
      </c>
      <c r="J25" s="25"/>
      <c r="K25" s="25"/>
      <c r="L25" s="25"/>
      <c r="M25" s="25"/>
      <c r="N25" s="25"/>
      <c r="O25" s="25"/>
      <c r="P25" s="25"/>
      <c r="Q25" s="25"/>
      <c r="R25" s="25"/>
      <c r="S25" s="7">
        <f t="shared" si="3"/>
        <v>51.557223975535159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ht="16.5" customHeight="1" thickBot="1">
      <c r="A26" s="4" t="s">
        <v>41</v>
      </c>
      <c r="B26" s="5">
        <v>45292</v>
      </c>
      <c r="C26" s="6" t="s">
        <v>0</v>
      </c>
      <c r="D26" s="6" t="s">
        <v>42</v>
      </c>
      <c r="E26" s="7">
        <v>26023</v>
      </c>
      <c r="F26" s="6" t="s">
        <v>7</v>
      </c>
      <c r="G26" s="6" t="s">
        <v>2</v>
      </c>
      <c r="H26" s="12">
        <f t="shared" ref="H26:H49" si="4">E26/1000</f>
        <v>26.023</v>
      </c>
      <c r="I26" s="19" t="s">
        <v>12</v>
      </c>
      <c r="J26" s="26"/>
      <c r="K26" s="26">
        <v>0.9</v>
      </c>
      <c r="L26" s="26" t="s">
        <v>43</v>
      </c>
      <c r="M26" s="27">
        <v>0.2</v>
      </c>
      <c r="N26" s="27" t="s">
        <v>44</v>
      </c>
      <c r="O26" s="30">
        <v>23900</v>
      </c>
      <c r="P26" s="33"/>
      <c r="Q26" s="34"/>
      <c r="R26" s="34"/>
      <c r="S26" s="13">
        <f t="shared" ref="S26:S37" si="5">H26*$K$26*$M$26*$O$26</f>
        <v>111950.94600000001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ht="16.5" customHeight="1" thickBot="1">
      <c r="A27" s="4" t="s">
        <v>45</v>
      </c>
      <c r="B27" s="5">
        <v>45323</v>
      </c>
      <c r="C27" s="6" t="s">
        <v>0</v>
      </c>
      <c r="D27" s="6" t="s">
        <v>42</v>
      </c>
      <c r="E27" s="7">
        <v>24884</v>
      </c>
      <c r="F27" s="6" t="s">
        <v>7</v>
      </c>
      <c r="G27" s="6" t="s">
        <v>2</v>
      </c>
      <c r="H27" s="12">
        <f t="shared" si="4"/>
        <v>24.884</v>
      </c>
      <c r="I27" s="19" t="s">
        <v>12</v>
      </c>
      <c r="J27" s="24"/>
      <c r="K27" s="24"/>
      <c r="L27" s="24"/>
      <c r="M27" s="28"/>
      <c r="N27" s="28"/>
      <c r="O27" s="31"/>
      <c r="P27" s="31"/>
      <c r="Q27" s="31"/>
      <c r="R27" s="31"/>
      <c r="S27" s="13">
        <f t="shared" si="5"/>
        <v>107050.96800000002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ht="16.5" customHeight="1" thickBot="1">
      <c r="A28" s="4" t="s">
        <v>46</v>
      </c>
      <c r="B28" s="5">
        <v>45352</v>
      </c>
      <c r="C28" s="6" t="s">
        <v>0</v>
      </c>
      <c r="D28" s="6" t="s">
        <v>42</v>
      </c>
      <c r="E28" s="7">
        <v>23852</v>
      </c>
      <c r="F28" s="6" t="s">
        <v>7</v>
      </c>
      <c r="G28" s="6" t="s">
        <v>2</v>
      </c>
      <c r="H28" s="12">
        <f t="shared" si="4"/>
        <v>23.852</v>
      </c>
      <c r="I28" s="19" t="s">
        <v>12</v>
      </c>
      <c r="J28" s="24"/>
      <c r="K28" s="24"/>
      <c r="L28" s="24"/>
      <c r="M28" s="28"/>
      <c r="N28" s="28"/>
      <c r="O28" s="31"/>
      <c r="P28" s="31"/>
      <c r="Q28" s="31"/>
      <c r="R28" s="31"/>
      <c r="S28" s="13">
        <f t="shared" si="5"/>
        <v>102611.30399999999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ht="16.5" customHeight="1" thickBot="1">
      <c r="A29" s="4" t="s">
        <v>47</v>
      </c>
      <c r="B29" s="5">
        <v>45383</v>
      </c>
      <c r="C29" s="6" t="s">
        <v>0</v>
      </c>
      <c r="D29" s="6" t="s">
        <v>42</v>
      </c>
      <c r="E29" s="7">
        <v>26038</v>
      </c>
      <c r="F29" s="6" t="s">
        <v>7</v>
      </c>
      <c r="G29" s="6" t="s">
        <v>2</v>
      </c>
      <c r="H29" s="12">
        <f t="shared" si="4"/>
        <v>26.038</v>
      </c>
      <c r="I29" s="19" t="s">
        <v>12</v>
      </c>
      <c r="J29" s="24"/>
      <c r="K29" s="24"/>
      <c r="L29" s="24"/>
      <c r="M29" s="28"/>
      <c r="N29" s="28"/>
      <c r="O29" s="31"/>
      <c r="P29" s="31"/>
      <c r="Q29" s="31"/>
      <c r="R29" s="31"/>
      <c r="S29" s="13">
        <f t="shared" si="5"/>
        <v>112015.47600000001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ht="16.5" customHeight="1" thickBot="1">
      <c r="A30" s="4" t="s">
        <v>48</v>
      </c>
      <c r="B30" s="5">
        <v>45413</v>
      </c>
      <c r="C30" s="6" t="s">
        <v>0</v>
      </c>
      <c r="D30" s="6" t="s">
        <v>42</v>
      </c>
      <c r="E30" s="7">
        <v>22947</v>
      </c>
      <c r="F30" s="6" t="s">
        <v>7</v>
      </c>
      <c r="G30" s="6" t="s">
        <v>2</v>
      </c>
      <c r="H30" s="12">
        <f t="shared" si="4"/>
        <v>22.946999999999999</v>
      </c>
      <c r="I30" s="19" t="s">
        <v>12</v>
      </c>
      <c r="J30" s="24"/>
      <c r="K30" s="24"/>
      <c r="L30" s="24"/>
      <c r="M30" s="28"/>
      <c r="N30" s="28"/>
      <c r="O30" s="31"/>
      <c r="P30" s="31"/>
      <c r="Q30" s="31"/>
      <c r="R30" s="31"/>
      <c r="S30" s="13">
        <f t="shared" si="5"/>
        <v>98717.994000000006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ht="16.5" customHeight="1" thickBot="1">
      <c r="A31" s="4" t="s">
        <v>49</v>
      </c>
      <c r="B31" s="5">
        <v>45444</v>
      </c>
      <c r="C31" s="6" t="s">
        <v>0</v>
      </c>
      <c r="D31" s="6" t="s">
        <v>42</v>
      </c>
      <c r="E31" s="7">
        <v>27153</v>
      </c>
      <c r="F31" s="6" t="s">
        <v>7</v>
      </c>
      <c r="G31" s="6" t="s">
        <v>2</v>
      </c>
      <c r="H31" s="12">
        <f t="shared" si="4"/>
        <v>27.152999999999999</v>
      </c>
      <c r="I31" s="19" t="s">
        <v>12</v>
      </c>
      <c r="J31" s="24"/>
      <c r="K31" s="24"/>
      <c r="L31" s="24"/>
      <c r="M31" s="28"/>
      <c r="N31" s="28"/>
      <c r="O31" s="31"/>
      <c r="P31" s="31"/>
      <c r="Q31" s="31"/>
      <c r="R31" s="31"/>
      <c r="S31" s="13">
        <f t="shared" si="5"/>
        <v>116812.20600000001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ht="16.5" customHeight="1" thickBot="1">
      <c r="A32" s="4" t="s">
        <v>50</v>
      </c>
      <c r="B32" s="5">
        <v>45474</v>
      </c>
      <c r="C32" s="6" t="s">
        <v>0</v>
      </c>
      <c r="D32" s="6" t="s">
        <v>42</v>
      </c>
      <c r="E32" s="7">
        <v>24272.5</v>
      </c>
      <c r="F32" s="6" t="s">
        <v>7</v>
      </c>
      <c r="G32" s="6" t="s">
        <v>2</v>
      </c>
      <c r="H32" s="12">
        <f t="shared" si="4"/>
        <v>24.272500000000001</v>
      </c>
      <c r="I32" s="19" t="s">
        <v>12</v>
      </c>
      <c r="J32" s="24"/>
      <c r="K32" s="24"/>
      <c r="L32" s="24"/>
      <c r="M32" s="28"/>
      <c r="N32" s="28"/>
      <c r="O32" s="31"/>
      <c r="P32" s="31"/>
      <c r="Q32" s="31"/>
      <c r="R32" s="31"/>
      <c r="S32" s="13">
        <f t="shared" si="5"/>
        <v>104420.29500000001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ht="16.5" customHeight="1" thickBot="1">
      <c r="A33" s="4" t="s">
        <v>51</v>
      </c>
      <c r="B33" s="5">
        <v>45505</v>
      </c>
      <c r="C33" s="6" t="s">
        <v>0</v>
      </c>
      <c r="D33" s="6" t="s">
        <v>42</v>
      </c>
      <c r="E33" s="7">
        <v>25830</v>
      </c>
      <c r="F33" s="6" t="s">
        <v>7</v>
      </c>
      <c r="G33" s="6" t="s">
        <v>2</v>
      </c>
      <c r="H33" s="12">
        <f t="shared" si="4"/>
        <v>25.83</v>
      </c>
      <c r="I33" s="19" t="s">
        <v>12</v>
      </c>
      <c r="J33" s="24"/>
      <c r="K33" s="24"/>
      <c r="L33" s="24"/>
      <c r="M33" s="28"/>
      <c r="N33" s="28"/>
      <c r="O33" s="31"/>
      <c r="P33" s="31"/>
      <c r="Q33" s="31"/>
      <c r="R33" s="31"/>
      <c r="S33" s="13">
        <f t="shared" si="5"/>
        <v>111120.66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ht="16.5" customHeight="1" thickBot="1">
      <c r="A34" s="4" t="s">
        <v>52</v>
      </c>
      <c r="B34" s="5">
        <v>45536</v>
      </c>
      <c r="C34" s="6" t="s">
        <v>0</v>
      </c>
      <c r="D34" s="6" t="s">
        <v>42</v>
      </c>
      <c r="E34" s="7">
        <v>22884</v>
      </c>
      <c r="F34" s="6" t="s">
        <v>7</v>
      </c>
      <c r="G34" s="6" t="s">
        <v>2</v>
      </c>
      <c r="H34" s="12">
        <f t="shared" si="4"/>
        <v>22.884</v>
      </c>
      <c r="I34" s="19" t="s">
        <v>12</v>
      </c>
      <c r="J34" s="24"/>
      <c r="K34" s="24"/>
      <c r="L34" s="24"/>
      <c r="M34" s="28"/>
      <c r="N34" s="28"/>
      <c r="O34" s="31"/>
      <c r="P34" s="31"/>
      <c r="Q34" s="31"/>
      <c r="R34" s="31"/>
      <c r="S34" s="13">
        <f t="shared" si="5"/>
        <v>98446.968000000008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ht="16.5" customHeight="1" thickBot="1">
      <c r="A35" s="4" t="s">
        <v>53</v>
      </c>
      <c r="B35" s="5">
        <v>45566</v>
      </c>
      <c r="C35" s="6" t="s">
        <v>0</v>
      </c>
      <c r="D35" s="6" t="s">
        <v>42</v>
      </c>
      <c r="E35" s="7">
        <v>25199</v>
      </c>
      <c r="F35" s="6" t="s">
        <v>7</v>
      </c>
      <c r="G35" s="6" t="s">
        <v>2</v>
      </c>
      <c r="H35" s="12">
        <f t="shared" si="4"/>
        <v>25.199000000000002</v>
      </c>
      <c r="I35" s="19" t="s">
        <v>12</v>
      </c>
      <c r="J35" s="24"/>
      <c r="K35" s="24"/>
      <c r="L35" s="24"/>
      <c r="M35" s="28"/>
      <c r="N35" s="28"/>
      <c r="O35" s="31"/>
      <c r="P35" s="31"/>
      <c r="Q35" s="31"/>
      <c r="R35" s="31"/>
      <c r="S35" s="13">
        <f t="shared" si="5"/>
        <v>108406.098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ht="16.5" customHeight="1" thickBot="1">
      <c r="A36" s="4" t="s">
        <v>54</v>
      </c>
      <c r="B36" s="5">
        <v>45597</v>
      </c>
      <c r="C36" s="6" t="s">
        <v>0</v>
      </c>
      <c r="D36" s="6" t="s">
        <v>42</v>
      </c>
      <c r="E36" s="7">
        <v>23573.5</v>
      </c>
      <c r="F36" s="6" t="s">
        <v>7</v>
      </c>
      <c r="G36" s="6" t="s">
        <v>2</v>
      </c>
      <c r="H36" s="12">
        <f t="shared" si="4"/>
        <v>23.573499999999999</v>
      </c>
      <c r="I36" s="19" t="s">
        <v>12</v>
      </c>
      <c r="J36" s="24"/>
      <c r="K36" s="24"/>
      <c r="L36" s="24"/>
      <c r="M36" s="28"/>
      <c r="N36" s="28"/>
      <c r="O36" s="31"/>
      <c r="P36" s="31"/>
      <c r="Q36" s="31"/>
      <c r="R36" s="31"/>
      <c r="S36" s="13">
        <f t="shared" si="5"/>
        <v>101413.19699999999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ht="16.5" customHeight="1" thickBot="1">
      <c r="A37" s="4" t="s">
        <v>55</v>
      </c>
      <c r="B37" s="5">
        <v>45627</v>
      </c>
      <c r="C37" s="6" t="s">
        <v>0</v>
      </c>
      <c r="D37" s="6" t="s">
        <v>42</v>
      </c>
      <c r="E37" s="7">
        <v>26404.5</v>
      </c>
      <c r="F37" s="6" t="s">
        <v>7</v>
      </c>
      <c r="G37" s="6" t="s">
        <v>2</v>
      </c>
      <c r="H37" s="12">
        <f t="shared" si="4"/>
        <v>26.404499999999999</v>
      </c>
      <c r="I37" s="19" t="s">
        <v>12</v>
      </c>
      <c r="J37" s="25"/>
      <c r="K37" s="25"/>
      <c r="L37" s="25"/>
      <c r="M37" s="29"/>
      <c r="N37" s="28"/>
      <c r="O37" s="32"/>
      <c r="P37" s="31"/>
      <c r="Q37" s="31"/>
      <c r="R37" s="31"/>
      <c r="S37" s="13">
        <f t="shared" si="5"/>
        <v>113592.159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ht="16.5" customHeight="1" thickBot="1">
      <c r="A38" s="4" t="s">
        <v>56</v>
      </c>
      <c r="B38" s="5">
        <v>45292</v>
      </c>
      <c r="C38" s="6" t="s">
        <v>0</v>
      </c>
      <c r="D38" s="6" t="s">
        <v>8</v>
      </c>
      <c r="E38" s="7">
        <v>1107.5</v>
      </c>
      <c r="F38" s="6" t="s">
        <v>7</v>
      </c>
      <c r="G38" s="6" t="s">
        <v>2</v>
      </c>
      <c r="H38" s="14">
        <f t="shared" si="4"/>
        <v>1.1074999999999999</v>
      </c>
      <c r="I38" s="19" t="s">
        <v>12</v>
      </c>
      <c r="J38" s="26"/>
      <c r="K38" s="26">
        <v>0.9</v>
      </c>
      <c r="L38" s="26" t="s">
        <v>43</v>
      </c>
      <c r="M38" s="27">
        <v>0.4</v>
      </c>
      <c r="N38" s="27" t="s">
        <v>44</v>
      </c>
      <c r="O38" s="30">
        <v>11700</v>
      </c>
      <c r="P38" s="33"/>
      <c r="Q38" s="34"/>
      <c r="R38" s="34"/>
      <c r="S38" s="7">
        <f t="shared" ref="S38:S49" si="6">H38*$K$38*$M$38*$O$38</f>
        <v>4664.79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ht="16.5" customHeight="1" thickBot="1">
      <c r="A39" s="4" t="s">
        <v>57</v>
      </c>
      <c r="B39" s="5">
        <v>45323</v>
      </c>
      <c r="C39" s="6" t="s">
        <v>0</v>
      </c>
      <c r="D39" s="6" t="s">
        <v>8</v>
      </c>
      <c r="E39" s="7">
        <v>1099</v>
      </c>
      <c r="F39" s="6" t="s">
        <v>7</v>
      </c>
      <c r="G39" s="6" t="s">
        <v>2</v>
      </c>
      <c r="H39" s="14">
        <f t="shared" si="4"/>
        <v>1.099</v>
      </c>
      <c r="I39" s="19" t="s">
        <v>12</v>
      </c>
      <c r="J39" s="24"/>
      <c r="K39" s="24"/>
      <c r="L39" s="24"/>
      <c r="M39" s="28"/>
      <c r="N39" s="28"/>
      <c r="O39" s="31"/>
      <c r="P39" s="31"/>
      <c r="Q39" s="31"/>
      <c r="R39" s="31"/>
      <c r="S39" s="7">
        <f t="shared" si="6"/>
        <v>4628.9880000000003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ht="16.5" customHeight="1" thickBot="1">
      <c r="A40" s="4" t="s">
        <v>58</v>
      </c>
      <c r="B40" s="5">
        <v>45352</v>
      </c>
      <c r="C40" s="6" t="s">
        <v>0</v>
      </c>
      <c r="D40" s="6" t="s">
        <v>8</v>
      </c>
      <c r="E40" s="7">
        <v>1055.5</v>
      </c>
      <c r="F40" s="6" t="s">
        <v>7</v>
      </c>
      <c r="G40" s="6" t="s">
        <v>2</v>
      </c>
      <c r="H40" s="14">
        <f t="shared" si="4"/>
        <v>1.0555000000000001</v>
      </c>
      <c r="I40" s="19" t="s">
        <v>12</v>
      </c>
      <c r="J40" s="24"/>
      <c r="K40" s="24"/>
      <c r="L40" s="24"/>
      <c r="M40" s="28"/>
      <c r="N40" s="28"/>
      <c r="O40" s="31"/>
      <c r="P40" s="31"/>
      <c r="Q40" s="31"/>
      <c r="R40" s="31"/>
      <c r="S40" s="7">
        <f t="shared" si="6"/>
        <v>4445.7660000000005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ht="16.5" customHeight="1" thickBot="1">
      <c r="A41" s="4" t="s">
        <v>59</v>
      </c>
      <c r="B41" s="5">
        <v>45383</v>
      </c>
      <c r="C41" s="6" t="s">
        <v>0</v>
      </c>
      <c r="D41" s="6" t="s">
        <v>8</v>
      </c>
      <c r="E41" s="7">
        <v>992</v>
      </c>
      <c r="F41" s="6" t="s">
        <v>7</v>
      </c>
      <c r="G41" s="6" t="s">
        <v>2</v>
      </c>
      <c r="H41" s="14">
        <f t="shared" si="4"/>
        <v>0.99199999999999999</v>
      </c>
      <c r="I41" s="19" t="s">
        <v>12</v>
      </c>
      <c r="J41" s="24"/>
      <c r="K41" s="24"/>
      <c r="L41" s="24"/>
      <c r="M41" s="28"/>
      <c r="N41" s="28"/>
      <c r="O41" s="31"/>
      <c r="P41" s="31"/>
      <c r="Q41" s="31"/>
      <c r="R41" s="31"/>
      <c r="S41" s="7">
        <f t="shared" si="6"/>
        <v>4178.304000000001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ht="16.5" customHeight="1" thickBot="1">
      <c r="A42" s="4" t="s">
        <v>60</v>
      </c>
      <c r="B42" s="5">
        <v>45413</v>
      </c>
      <c r="C42" s="6" t="s">
        <v>0</v>
      </c>
      <c r="D42" s="6" t="s">
        <v>8</v>
      </c>
      <c r="E42" s="7">
        <v>1086.5</v>
      </c>
      <c r="F42" s="6" t="s">
        <v>7</v>
      </c>
      <c r="G42" s="6" t="s">
        <v>2</v>
      </c>
      <c r="H42" s="14">
        <f t="shared" si="4"/>
        <v>1.0865</v>
      </c>
      <c r="I42" s="19" t="s">
        <v>12</v>
      </c>
      <c r="J42" s="24"/>
      <c r="K42" s="24"/>
      <c r="L42" s="24"/>
      <c r="M42" s="28"/>
      <c r="N42" s="28"/>
      <c r="O42" s="31"/>
      <c r="P42" s="31"/>
      <c r="Q42" s="31"/>
      <c r="R42" s="31"/>
      <c r="S42" s="7">
        <f t="shared" si="6"/>
        <v>4576.3380000000006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ht="16.5" customHeight="1" thickBot="1">
      <c r="A43" s="4" t="s">
        <v>61</v>
      </c>
      <c r="B43" s="5">
        <v>45444</v>
      </c>
      <c r="C43" s="6" t="s">
        <v>0</v>
      </c>
      <c r="D43" s="6" t="s">
        <v>8</v>
      </c>
      <c r="E43" s="7">
        <v>1008</v>
      </c>
      <c r="F43" s="6" t="s">
        <v>7</v>
      </c>
      <c r="G43" s="6" t="s">
        <v>2</v>
      </c>
      <c r="H43" s="14">
        <f t="shared" si="4"/>
        <v>1.008</v>
      </c>
      <c r="I43" s="19" t="s">
        <v>12</v>
      </c>
      <c r="J43" s="24"/>
      <c r="K43" s="24"/>
      <c r="L43" s="24"/>
      <c r="M43" s="28"/>
      <c r="N43" s="28"/>
      <c r="O43" s="31"/>
      <c r="P43" s="31"/>
      <c r="Q43" s="31"/>
      <c r="R43" s="31"/>
      <c r="S43" s="7">
        <f t="shared" si="6"/>
        <v>4245.6960000000008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ht="16.5" customHeight="1" thickBot="1">
      <c r="A44" s="4" t="s">
        <v>62</v>
      </c>
      <c r="B44" s="5">
        <v>45474</v>
      </c>
      <c r="C44" s="6" t="s">
        <v>0</v>
      </c>
      <c r="D44" s="6" t="s">
        <v>8</v>
      </c>
      <c r="E44" s="7">
        <v>1102.5</v>
      </c>
      <c r="F44" s="6" t="s">
        <v>7</v>
      </c>
      <c r="G44" s="6" t="s">
        <v>2</v>
      </c>
      <c r="H44" s="14">
        <f t="shared" si="4"/>
        <v>1.1025</v>
      </c>
      <c r="I44" s="19" t="s">
        <v>12</v>
      </c>
      <c r="J44" s="24"/>
      <c r="K44" s="24"/>
      <c r="L44" s="24"/>
      <c r="M44" s="28"/>
      <c r="N44" s="28"/>
      <c r="O44" s="31"/>
      <c r="P44" s="31"/>
      <c r="Q44" s="31"/>
      <c r="R44" s="31"/>
      <c r="S44" s="7">
        <f t="shared" si="6"/>
        <v>4643.7300000000005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ht="16.5" customHeight="1" thickBot="1">
      <c r="A45" s="4" t="s">
        <v>63</v>
      </c>
      <c r="B45" s="5">
        <v>45505</v>
      </c>
      <c r="C45" s="6" t="s">
        <v>0</v>
      </c>
      <c r="D45" s="6" t="s">
        <v>8</v>
      </c>
      <c r="E45" s="7">
        <v>1089.5</v>
      </c>
      <c r="F45" s="6" t="s">
        <v>7</v>
      </c>
      <c r="G45" s="6" t="s">
        <v>2</v>
      </c>
      <c r="H45" s="14">
        <f t="shared" si="4"/>
        <v>1.0894999999999999</v>
      </c>
      <c r="I45" s="19" t="s">
        <v>12</v>
      </c>
      <c r="J45" s="24"/>
      <c r="K45" s="24"/>
      <c r="L45" s="24"/>
      <c r="M45" s="28"/>
      <c r="N45" s="28"/>
      <c r="O45" s="31"/>
      <c r="P45" s="31"/>
      <c r="Q45" s="31"/>
      <c r="R45" s="31"/>
      <c r="S45" s="7">
        <f t="shared" si="6"/>
        <v>4588.9740000000002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ht="16.5" customHeight="1" thickBot="1">
      <c r="A46" s="4" t="s">
        <v>64</v>
      </c>
      <c r="B46" s="5">
        <v>45536</v>
      </c>
      <c r="C46" s="6" t="s">
        <v>0</v>
      </c>
      <c r="D46" s="6" t="s">
        <v>8</v>
      </c>
      <c r="E46" s="7">
        <v>976</v>
      </c>
      <c r="F46" s="6" t="s">
        <v>7</v>
      </c>
      <c r="G46" s="6" t="s">
        <v>2</v>
      </c>
      <c r="H46" s="14">
        <f t="shared" si="4"/>
        <v>0.97599999999999998</v>
      </c>
      <c r="I46" s="19" t="s">
        <v>12</v>
      </c>
      <c r="J46" s="24"/>
      <c r="K46" s="24"/>
      <c r="L46" s="24"/>
      <c r="M46" s="28"/>
      <c r="N46" s="28"/>
      <c r="O46" s="31"/>
      <c r="P46" s="31"/>
      <c r="Q46" s="31"/>
      <c r="R46" s="31"/>
      <c r="S46" s="7">
        <f t="shared" si="6"/>
        <v>4110.9120000000003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ht="16.5" customHeight="1" thickBot="1">
      <c r="A47" s="4" t="s">
        <v>65</v>
      </c>
      <c r="B47" s="5">
        <v>45566</v>
      </c>
      <c r="C47" s="6" t="s">
        <v>0</v>
      </c>
      <c r="D47" s="6" t="s">
        <v>8</v>
      </c>
      <c r="E47" s="7">
        <v>1070.5</v>
      </c>
      <c r="F47" s="6" t="s">
        <v>7</v>
      </c>
      <c r="G47" s="6" t="s">
        <v>2</v>
      </c>
      <c r="H47" s="14">
        <f t="shared" si="4"/>
        <v>1.0705</v>
      </c>
      <c r="I47" s="19" t="s">
        <v>12</v>
      </c>
      <c r="J47" s="24"/>
      <c r="K47" s="24"/>
      <c r="L47" s="24"/>
      <c r="M47" s="28"/>
      <c r="N47" s="28"/>
      <c r="O47" s="31"/>
      <c r="P47" s="31"/>
      <c r="Q47" s="31"/>
      <c r="R47" s="31"/>
      <c r="S47" s="7">
        <f t="shared" si="6"/>
        <v>4508.9460000000008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16.5" customHeight="1" thickBot="1">
      <c r="A48" s="4" t="s">
        <v>66</v>
      </c>
      <c r="B48" s="5">
        <v>45597</v>
      </c>
      <c r="C48" s="6" t="s">
        <v>0</v>
      </c>
      <c r="D48" s="6" t="s">
        <v>8</v>
      </c>
      <c r="E48" s="7">
        <v>1030</v>
      </c>
      <c r="F48" s="6" t="s">
        <v>7</v>
      </c>
      <c r="G48" s="6" t="s">
        <v>2</v>
      </c>
      <c r="H48" s="14">
        <f t="shared" si="4"/>
        <v>1.03</v>
      </c>
      <c r="I48" s="19" t="s">
        <v>12</v>
      </c>
      <c r="J48" s="24"/>
      <c r="K48" s="24"/>
      <c r="L48" s="24"/>
      <c r="M48" s="28"/>
      <c r="N48" s="28"/>
      <c r="O48" s="31"/>
      <c r="P48" s="31"/>
      <c r="Q48" s="31"/>
      <c r="R48" s="31"/>
      <c r="S48" s="7">
        <f t="shared" si="6"/>
        <v>4338.3600000000006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ht="16.5" customHeight="1" thickBot="1">
      <c r="A49" s="4" t="s">
        <v>67</v>
      </c>
      <c r="B49" s="5">
        <v>45627</v>
      </c>
      <c r="C49" s="6" t="s">
        <v>0</v>
      </c>
      <c r="D49" s="6" t="s">
        <v>8</v>
      </c>
      <c r="E49" s="7">
        <v>1108.5</v>
      </c>
      <c r="F49" s="6" t="s">
        <v>7</v>
      </c>
      <c r="G49" s="6" t="s">
        <v>2</v>
      </c>
      <c r="H49" s="14">
        <f t="shared" si="4"/>
        <v>1.1085</v>
      </c>
      <c r="I49" s="19" t="s">
        <v>12</v>
      </c>
      <c r="J49" s="25"/>
      <c r="K49" s="25"/>
      <c r="L49" s="25"/>
      <c r="M49" s="29"/>
      <c r="N49" s="28"/>
      <c r="O49" s="32"/>
      <c r="P49" s="31"/>
      <c r="Q49" s="31"/>
      <c r="R49" s="31"/>
      <c r="S49" s="7">
        <f t="shared" si="6"/>
        <v>4669.0020000000004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ht="16.5" customHeight="1" thickBot="1">
      <c r="A50" s="4" t="s">
        <v>68</v>
      </c>
      <c r="B50" s="5">
        <v>45292</v>
      </c>
      <c r="C50" s="6" t="s">
        <v>0</v>
      </c>
      <c r="D50" s="6" t="s">
        <v>9</v>
      </c>
      <c r="E50" s="7">
        <v>119.25</v>
      </c>
      <c r="F50" s="6" t="s">
        <v>10</v>
      </c>
      <c r="G50" s="6" t="s">
        <v>11</v>
      </c>
      <c r="H50" s="12">
        <f t="shared" ref="H50:H61" si="7">E50*10^6</f>
        <v>119250000</v>
      </c>
      <c r="I50" s="21" t="s">
        <v>69</v>
      </c>
      <c r="J50" s="26">
        <v>9.6</v>
      </c>
      <c r="K50" s="26"/>
      <c r="L50" s="26" t="s">
        <v>70</v>
      </c>
      <c r="M50" s="26">
        <v>0.45669999999999999</v>
      </c>
      <c r="N50" s="26">
        <v>3.5999999999999999E-3</v>
      </c>
      <c r="O50" s="26">
        <v>8.0999999999999996E-3</v>
      </c>
      <c r="P50" s="23">
        <v>1</v>
      </c>
      <c r="Q50" s="23">
        <v>21</v>
      </c>
      <c r="R50" s="23">
        <v>310</v>
      </c>
      <c r="S50" s="7">
        <f t="shared" ref="S50:S61" si="8">((H50*$J$50*$M$50*$P$50)+(H50*$J$50*$N$50*$Q$50)+(H50*$J$50*$O$50*$R$50))*10^-6</f>
        <v>3483.9698399999997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ht="16.5" customHeight="1" thickBot="1">
      <c r="A51" s="4" t="s">
        <v>71</v>
      </c>
      <c r="B51" s="5">
        <v>45323</v>
      </c>
      <c r="C51" s="6" t="s">
        <v>0</v>
      </c>
      <c r="D51" s="6" t="s">
        <v>9</v>
      </c>
      <c r="E51" s="7">
        <v>102.49999999999999</v>
      </c>
      <c r="F51" s="6" t="s">
        <v>10</v>
      </c>
      <c r="G51" s="6" t="s">
        <v>11</v>
      </c>
      <c r="H51" s="12">
        <f t="shared" si="7"/>
        <v>102499999.99999999</v>
      </c>
      <c r="I51" s="21" t="s">
        <v>69</v>
      </c>
      <c r="J51" s="24"/>
      <c r="K51" s="24"/>
      <c r="L51" s="24"/>
      <c r="M51" s="24"/>
      <c r="N51" s="24"/>
      <c r="O51" s="24"/>
      <c r="P51" s="24"/>
      <c r="Q51" s="24"/>
      <c r="R51" s="24"/>
      <c r="S51" s="7">
        <f t="shared" si="8"/>
        <v>2994.607199999999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ht="16.5" customHeight="1" thickBot="1">
      <c r="A52" s="4" t="s">
        <v>72</v>
      </c>
      <c r="B52" s="5">
        <v>45352</v>
      </c>
      <c r="C52" s="6" t="s">
        <v>0</v>
      </c>
      <c r="D52" s="6" t="s">
        <v>9</v>
      </c>
      <c r="E52" s="7">
        <v>61.199999999999996</v>
      </c>
      <c r="F52" s="6" t="s">
        <v>10</v>
      </c>
      <c r="G52" s="6" t="s">
        <v>11</v>
      </c>
      <c r="H52" s="12">
        <f t="shared" si="7"/>
        <v>61199999.999999993</v>
      </c>
      <c r="I52" s="21" t="s">
        <v>69</v>
      </c>
      <c r="J52" s="24"/>
      <c r="K52" s="24"/>
      <c r="L52" s="24"/>
      <c r="M52" s="24"/>
      <c r="N52" s="24"/>
      <c r="O52" s="24"/>
      <c r="P52" s="24"/>
      <c r="Q52" s="24"/>
      <c r="R52" s="24"/>
      <c r="S52" s="7">
        <f t="shared" si="8"/>
        <v>1787.9996159999996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ht="16.5" customHeight="1" thickBot="1">
      <c r="A53" s="4" t="s">
        <v>73</v>
      </c>
      <c r="B53" s="5">
        <v>45383</v>
      </c>
      <c r="C53" s="6" t="s">
        <v>0</v>
      </c>
      <c r="D53" s="6" t="s">
        <v>9</v>
      </c>
      <c r="E53" s="7">
        <v>94.3</v>
      </c>
      <c r="F53" s="6" t="s">
        <v>10</v>
      </c>
      <c r="G53" s="6" t="s">
        <v>11</v>
      </c>
      <c r="H53" s="12">
        <f t="shared" si="7"/>
        <v>94300000</v>
      </c>
      <c r="I53" s="21" t="s">
        <v>69</v>
      </c>
      <c r="J53" s="24"/>
      <c r="K53" s="24"/>
      <c r="L53" s="24"/>
      <c r="M53" s="24"/>
      <c r="N53" s="24"/>
      <c r="O53" s="24"/>
      <c r="P53" s="24"/>
      <c r="Q53" s="24"/>
      <c r="R53" s="24"/>
      <c r="S53" s="7">
        <f t="shared" si="8"/>
        <v>2755.0386239999998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ht="16.5" customHeight="1" thickBot="1">
      <c r="A54" s="4" t="s">
        <v>74</v>
      </c>
      <c r="B54" s="5">
        <v>45413</v>
      </c>
      <c r="C54" s="6" t="s">
        <v>0</v>
      </c>
      <c r="D54" s="6" t="s">
        <v>9</v>
      </c>
      <c r="E54" s="7">
        <v>72.5</v>
      </c>
      <c r="F54" s="6" t="s">
        <v>10</v>
      </c>
      <c r="G54" s="6" t="s">
        <v>11</v>
      </c>
      <c r="H54" s="12">
        <f t="shared" si="7"/>
        <v>72500000</v>
      </c>
      <c r="I54" s="21" t="s">
        <v>69</v>
      </c>
      <c r="J54" s="24"/>
      <c r="K54" s="24"/>
      <c r="L54" s="24"/>
      <c r="M54" s="24"/>
      <c r="N54" s="24"/>
      <c r="O54" s="24"/>
      <c r="P54" s="24"/>
      <c r="Q54" s="24"/>
      <c r="R54" s="24"/>
      <c r="S54" s="7">
        <f t="shared" si="8"/>
        <v>2118.1367999999998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ht="16.5" customHeight="1" thickBot="1">
      <c r="A55" s="4" t="s">
        <v>75</v>
      </c>
      <c r="B55" s="5">
        <v>45444</v>
      </c>
      <c r="C55" s="6" t="s">
        <v>0</v>
      </c>
      <c r="D55" s="6" t="s">
        <v>9</v>
      </c>
      <c r="E55" s="7">
        <v>125.8</v>
      </c>
      <c r="F55" s="6" t="s">
        <v>10</v>
      </c>
      <c r="G55" s="6" t="s">
        <v>11</v>
      </c>
      <c r="H55" s="12">
        <f t="shared" si="7"/>
        <v>125800000</v>
      </c>
      <c r="I55" s="21" t="s">
        <v>69</v>
      </c>
      <c r="J55" s="24"/>
      <c r="K55" s="24"/>
      <c r="L55" s="24"/>
      <c r="M55" s="24"/>
      <c r="N55" s="24"/>
      <c r="O55" s="24"/>
      <c r="P55" s="24"/>
      <c r="Q55" s="24"/>
      <c r="R55" s="24"/>
      <c r="S55" s="7">
        <f t="shared" si="8"/>
        <v>3675.3325439999999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ht="16.5" customHeight="1" thickBot="1">
      <c r="A56" s="4" t="s">
        <v>76</v>
      </c>
      <c r="B56" s="5">
        <v>45474</v>
      </c>
      <c r="C56" s="6" t="s">
        <v>0</v>
      </c>
      <c r="D56" s="6" t="s">
        <v>9</v>
      </c>
      <c r="E56" s="7">
        <v>77.349999999999994</v>
      </c>
      <c r="F56" s="6" t="s">
        <v>10</v>
      </c>
      <c r="G56" s="6" t="s">
        <v>11</v>
      </c>
      <c r="H56" s="12">
        <f t="shared" si="7"/>
        <v>77350000</v>
      </c>
      <c r="I56" s="21" t="s">
        <v>69</v>
      </c>
      <c r="J56" s="24"/>
      <c r="K56" s="24"/>
      <c r="L56" s="24"/>
      <c r="M56" s="24"/>
      <c r="N56" s="24"/>
      <c r="O56" s="24"/>
      <c r="P56" s="24"/>
      <c r="Q56" s="24"/>
      <c r="R56" s="24"/>
      <c r="S56" s="7">
        <f t="shared" si="8"/>
        <v>2259.832848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ht="16.5" customHeight="1" thickBot="1">
      <c r="A57" s="4" t="s">
        <v>77</v>
      </c>
      <c r="B57" s="5">
        <v>45505</v>
      </c>
      <c r="C57" s="6" t="s">
        <v>0</v>
      </c>
      <c r="D57" s="6" t="s">
        <v>9</v>
      </c>
      <c r="E57" s="7">
        <v>111.65</v>
      </c>
      <c r="F57" s="6" t="s">
        <v>10</v>
      </c>
      <c r="G57" s="6" t="s">
        <v>11</v>
      </c>
      <c r="H57" s="12">
        <f t="shared" si="7"/>
        <v>111650000</v>
      </c>
      <c r="I57" s="21" t="s">
        <v>69</v>
      </c>
      <c r="J57" s="24"/>
      <c r="K57" s="24"/>
      <c r="L57" s="24"/>
      <c r="M57" s="24"/>
      <c r="N57" s="24"/>
      <c r="O57" s="24"/>
      <c r="P57" s="24"/>
      <c r="Q57" s="24"/>
      <c r="R57" s="24"/>
      <c r="S57" s="7">
        <f t="shared" si="8"/>
        <v>3261.930672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ht="16.5" customHeight="1" thickBot="1">
      <c r="A58" s="4" t="s">
        <v>78</v>
      </c>
      <c r="B58" s="5">
        <v>45536</v>
      </c>
      <c r="C58" s="6" t="s">
        <v>0</v>
      </c>
      <c r="D58" s="6" t="s">
        <v>9</v>
      </c>
      <c r="E58" s="7">
        <v>74.800000000000011</v>
      </c>
      <c r="F58" s="6" t="s">
        <v>10</v>
      </c>
      <c r="G58" s="6" t="s">
        <v>11</v>
      </c>
      <c r="H58" s="12">
        <f t="shared" si="7"/>
        <v>74800000.000000015</v>
      </c>
      <c r="I58" s="21" t="s">
        <v>69</v>
      </c>
      <c r="J58" s="24"/>
      <c r="K58" s="24"/>
      <c r="L58" s="24"/>
      <c r="M58" s="24"/>
      <c r="N58" s="24"/>
      <c r="O58" s="24"/>
      <c r="P58" s="24"/>
      <c r="Q58" s="24"/>
      <c r="R58" s="24"/>
      <c r="S58" s="7">
        <f t="shared" si="8"/>
        <v>2185.3328640000004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ht="16.5" customHeight="1" thickBot="1">
      <c r="A59" s="4" t="s">
        <v>79</v>
      </c>
      <c r="B59" s="5">
        <v>45566</v>
      </c>
      <c r="C59" s="6" t="s">
        <v>0</v>
      </c>
      <c r="D59" s="6" t="s">
        <v>9</v>
      </c>
      <c r="E59" s="7">
        <v>91.949999999999989</v>
      </c>
      <c r="F59" s="6" t="s">
        <v>10</v>
      </c>
      <c r="G59" s="6" t="s">
        <v>11</v>
      </c>
      <c r="H59" s="12">
        <f t="shared" si="7"/>
        <v>91949999.999999985</v>
      </c>
      <c r="I59" s="21" t="s">
        <v>69</v>
      </c>
      <c r="J59" s="24"/>
      <c r="K59" s="24"/>
      <c r="L59" s="24"/>
      <c r="M59" s="24"/>
      <c r="N59" s="24"/>
      <c r="O59" s="24"/>
      <c r="P59" s="24"/>
      <c r="Q59" s="24"/>
      <c r="R59" s="24"/>
      <c r="S59" s="7">
        <f t="shared" si="8"/>
        <v>2686.3817759999993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ht="16.5" customHeight="1" thickBot="1">
      <c r="A60" s="4" t="s">
        <v>80</v>
      </c>
      <c r="B60" s="5">
        <v>45597</v>
      </c>
      <c r="C60" s="6" t="s">
        <v>0</v>
      </c>
      <c r="D60" s="6" t="s">
        <v>9</v>
      </c>
      <c r="E60" s="7">
        <v>56.000000000000007</v>
      </c>
      <c r="F60" s="6" t="s">
        <v>10</v>
      </c>
      <c r="G60" s="6" t="s">
        <v>11</v>
      </c>
      <c r="H60" s="12">
        <f t="shared" si="7"/>
        <v>56000000.000000007</v>
      </c>
      <c r="I60" s="21" t="s">
        <v>69</v>
      </c>
      <c r="J60" s="24"/>
      <c r="K60" s="24"/>
      <c r="L60" s="24"/>
      <c r="M60" s="24"/>
      <c r="N60" s="24"/>
      <c r="O60" s="24"/>
      <c r="P60" s="24"/>
      <c r="Q60" s="24"/>
      <c r="R60" s="24"/>
      <c r="S60" s="7">
        <f t="shared" si="8"/>
        <v>1636.07808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ht="16.5" customHeight="1" thickBot="1">
      <c r="A61" s="4" t="s">
        <v>81</v>
      </c>
      <c r="B61" s="5">
        <v>45627</v>
      </c>
      <c r="C61" s="6" t="s">
        <v>0</v>
      </c>
      <c r="D61" s="6" t="s">
        <v>9</v>
      </c>
      <c r="E61" s="7">
        <v>116.7</v>
      </c>
      <c r="F61" s="6" t="s">
        <v>10</v>
      </c>
      <c r="G61" s="6" t="s">
        <v>11</v>
      </c>
      <c r="H61" s="12">
        <f t="shared" si="7"/>
        <v>116700000</v>
      </c>
      <c r="I61" s="21" t="s">
        <v>69</v>
      </c>
      <c r="J61" s="25"/>
      <c r="K61" s="25"/>
      <c r="L61" s="25"/>
      <c r="M61" s="25"/>
      <c r="N61" s="25"/>
      <c r="O61" s="25"/>
      <c r="P61" s="25"/>
      <c r="Q61" s="25"/>
      <c r="R61" s="25"/>
      <c r="S61" s="7">
        <f t="shared" si="8"/>
        <v>3409.4698559999997</v>
      </c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ht="16.5" customHeight="1" thickBot="1">
      <c r="A62" s="4" t="s">
        <v>82</v>
      </c>
      <c r="B62" s="5">
        <v>45292</v>
      </c>
      <c r="C62" s="6" t="s">
        <v>0</v>
      </c>
      <c r="D62" s="6" t="s">
        <v>83</v>
      </c>
      <c r="E62" s="7">
        <v>128815.5</v>
      </c>
      <c r="F62" s="6" t="s">
        <v>1</v>
      </c>
      <c r="G62" s="6" t="s">
        <v>11</v>
      </c>
      <c r="H62" s="14">
        <f t="shared" ref="H62:H73" si="9">E62/1000</f>
        <v>128.81549999999999</v>
      </c>
      <c r="I62" s="22" t="s">
        <v>84</v>
      </c>
      <c r="J62" s="26"/>
      <c r="K62" s="26"/>
      <c r="L62" s="26"/>
      <c r="M62" s="36">
        <v>59510</v>
      </c>
      <c r="N62" s="39">
        <v>1.8320000000000001</v>
      </c>
      <c r="O62" s="40">
        <v>0.44</v>
      </c>
      <c r="P62" s="23">
        <v>1</v>
      </c>
      <c r="Q62" s="23">
        <v>21</v>
      </c>
      <c r="R62" s="23">
        <v>310</v>
      </c>
      <c r="S62" s="7">
        <f t="shared" ref="S62:S73" si="10">((H62*$M$62*$P$62)+(H62*$N$62*$Q$62)+(H62*$O$62*$R$62))*10^-6</f>
        <v>7.6883366291159989</v>
      </c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ht="16.5" customHeight="1" thickBot="1">
      <c r="A63" s="15" t="s">
        <v>85</v>
      </c>
      <c r="B63" s="5">
        <v>45323</v>
      </c>
      <c r="C63" s="6" t="s">
        <v>0</v>
      </c>
      <c r="D63" s="6" t="s">
        <v>83</v>
      </c>
      <c r="E63" s="7">
        <v>67565.5</v>
      </c>
      <c r="F63" s="6" t="s">
        <v>1</v>
      </c>
      <c r="G63" s="6" t="s">
        <v>11</v>
      </c>
      <c r="H63" s="14">
        <f t="shared" si="9"/>
        <v>67.5655</v>
      </c>
      <c r="I63" s="22" t="s">
        <v>84</v>
      </c>
      <c r="J63" s="24"/>
      <c r="K63" s="24"/>
      <c r="L63" s="24"/>
      <c r="M63" s="37"/>
      <c r="N63" s="37"/>
      <c r="O63" s="24"/>
      <c r="P63" s="24"/>
      <c r="Q63" s="24"/>
      <c r="R63" s="24"/>
      <c r="S63" s="7">
        <f t="shared" si="10"/>
        <v>4.0326382191159995</v>
      </c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ht="16.5" customHeight="1" thickBot="1">
      <c r="A64" s="15" t="s">
        <v>86</v>
      </c>
      <c r="B64" s="5">
        <v>45352</v>
      </c>
      <c r="C64" s="6" t="s">
        <v>0</v>
      </c>
      <c r="D64" s="6" t="s">
        <v>83</v>
      </c>
      <c r="E64" s="7">
        <v>116435</v>
      </c>
      <c r="F64" s="6" t="s">
        <v>1</v>
      </c>
      <c r="G64" s="6" t="s">
        <v>11</v>
      </c>
      <c r="H64" s="14">
        <f t="shared" si="9"/>
        <v>116.435</v>
      </c>
      <c r="I64" s="22" t="s">
        <v>84</v>
      </c>
      <c r="J64" s="24"/>
      <c r="K64" s="24"/>
      <c r="L64" s="24"/>
      <c r="M64" s="37"/>
      <c r="N64" s="37"/>
      <c r="O64" s="24"/>
      <c r="P64" s="24"/>
      <c r="Q64" s="24"/>
      <c r="R64" s="24"/>
      <c r="S64" s="7">
        <f t="shared" si="10"/>
        <v>6.9494080713200006</v>
      </c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ht="16.5" customHeight="1" thickBot="1">
      <c r="A65" s="15" t="s">
        <v>87</v>
      </c>
      <c r="B65" s="5">
        <v>45383</v>
      </c>
      <c r="C65" s="6" t="s">
        <v>0</v>
      </c>
      <c r="D65" s="6" t="s">
        <v>83</v>
      </c>
      <c r="E65" s="7">
        <v>115712.5</v>
      </c>
      <c r="F65" s="6" t="s">
        <v>1</v>
      </c>
      <c r="G65" s="6" t="s">
        <v>11</v>
      </c>
      <c r="H65" s="14">
        <f t="shared" si="9"/>
        <v>115.71250000000001</v>
      </c>
      <c r="I65" s="22" t="s">
        <v>84</v>
      </c>
      <c r="J65" s="24"/>
      <c r="K65" s="24"/>
      <c r="L65" s="24"/>
      <c r="M65" s="37"/>
      <c r="N65" s="37"/>
      <c r="O65" s="24"/>
      <c r="P65" s="24"/>
      <c r="Q65" s="24"/>
      <c r="R65" s="24"/>
      <c r="S65" s="7">
        <f t="shared" si="10"/>
        <v>6.9062857512999996</v>
      </c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ht="16.5" customHeight="1" thickBot="1">
      <c r="A66" s="15" t="s">
        <v>88</v>
      </c>
      <c r="B66" s="5">
        <v>45413</v>
      </c>
      <c r="C66" s="6" t="s">
        <v>0</v>
      </c>
      <c r="D66" s="6" t="s">
        <v>83</v>
      </c>
      <c r="E66" s="7">
        <v>130140.5</v>
      </c>
      <c r="F66" s="6" t="s">
        <v>1</v>
      </c>
      <c r="G66" s="6" t="s">
        <v>11</v>
      </c>
      <c r="H66" s="14">
        <f t="shared" si="9"/>
        <v>130.1405</v>
      </c>
      <c r="I66" s="22" t="s">
        <v>84</v>
      </c>
      <c r="J66" s="24"/>
      <c r="K66" s="24"/>
      <c r="L66" s="24"/>
      <c r="M66" s="37"/>
      <c r="N66" s="37"/>
      <c r="O66" s="24"/>
      <c r="P66" s="24"/>
      <c r="Q66" s="24"/>
      <c r="R66" s="24"/>
      <c r="S66" s="7">
        <f t="shared" si="10"/>
        <v>7.7674190845159998</v>
      </c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ht="16.5" customHeight="1" thickBot="1">
      <c r="A67" s="15" t="s">
        <v>89</v>
      </c>
      <c r="B67" s="5">
        <v>45444</v>
      </c>
      <c r="C67" s="6" t="s">
        <v>0</v>
      </c>
      <c r="D67" s="6" t="s">
        <v>83</v>
      </c>
      <c r="E67" s="7">
        <v>126572</v>
      </c>
      <c r="F67" s="6" t="s">
        <v>1</v>
      </c>
      <c r="G67" s="6" t="s">
        <v>11</v>
      </c>
      <c r="H67" s="14">
        <f t="shared" si="9"/>
        <v>126.572</v>
      </c>
      <c r="I67" s="22" t="s">
        <v>84</v>
      </c>
      <c r="J67" s="24"/>
      <c r="K67" s="24"/>
      <c r="L67" s="24"/>
      <c r="M67" s="37"/>
      <c r="N67" s="37"/>
      <c r="O67" s="24"/>
      <c r="P67" s="24"/>
      <c r="Q67" s="24"/>
      <c r="R67" s="24"/>
      <c r="S67" s="7">
        <f t="shared" si="10"/>
        <v>7.5544336187839995</v>
      </c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ht="16.5" customHeight="1" thickBot="1">
      <c r="A68" s="15" t="s">
        <v>90</v>
      </c>
      <c r="B68" s="5">
        <v>45474</v>
      </c>
      <c r="C68" s="6" t="s">
        <v>0</v>
      </c>
      <c r="D68" s="6" t="s">
        <v>83</v>
      </c>
      <c r="E68" s="7">
        <v>130545</v>
      </c>
      <c r="F68" s="6" t="s">
        <v>1</v>
      </c>
      <c r="G68" s="6" t="s">
        <v>11</v>
      </c>
      <c r="H68" s="14">
        <f t="shared" si="9"/>
        <v>130.54499999999999</v>
      </c>
      <c r="I68" s="22" t="s">
        <v>84</v>
      </c>
      <c r="J68" s="24"/>
      <c r="K68" s="24"/>
      <c r="L68" s="24"/>
      <c r="M68" s="37"/>
      <c r="N68" s="37"/>
      <c r="O68" s="24"/>
      <c r="P68" s="24"/>
      <c r="Q68" s="24"/>
      <c r="R68" s="24"/>
      <c r="S68" s="7">
        <f t="shared" si="10"/>
        <v>7.7915616152399991</v>
      </c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ht="16.5" customHeight="1" thickBot="1">
      <c r="A69" s="15" t="s">
        <v>91</v>
      </c>
      <c r="B69" s="5">
        <v>45505</v>
      </c>
      <c r="C69" s="6" t="s">
        <v>0</v>
      </c>
      <c r="D69" s="6" t="s">
        <v>83</v>
      </c>
      <c r="E69" s="7">
        <v>115068.5</v>
      </c>
      <c r="F69" s="6" t="s">
        <v>1</v>
      </c>
      <c r="G69" s="6" t="s">
        <v>11</v>
      </c>
      <c r="H69" s="14">
        <f t="shared" si="9"/>
        <v>115.0685</v>
      </c>
      <c r="I69" s="22" t="s">
        <v>84</v>
      </c>
      <c r="J69" s="24"/>
      <c r="K69" s="24"/>
      <c r="L69" s="24"/>
      <c r="M69" s="37"/>
      <c r="N69" s="37"/>
      <c r="O69" s="24"/>
      <c r="P69" s="24"/>
      <c r="Q69" s="24"/>
      <c r="R69" s="24"/>
      <c r="S69" s="7">
        <f t="shared" si="10"/>
        <v>6.8678486937319985</v>
      </c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ht="16.5" customHeight="1" thickBot="1">
      <c r="A70" s="15" t="s">
        <v>92</v>
      </c>
      <c r="B70" s="5">
        <v>45536</v>
      </c>
      <c r="C70" s="6" t="s">
        <v>0</v>
      </c>
      <c r="D70" s="6" t="s">
        <v>83</v>
      </c>
      <c r="E70" s="7">
        <v>119179.5</v>
      </c>
      <c r="F70" s="6" t="s">
        <v>1</v>
      </c>
      <c r="G70" s="6" t="s">
        <v>11</v>
      </c>
      <c r="H70" s="14">
        <f t="shared" si="9"/>
        <v>119.1795</v>
      </c>
      <c r="I70" s="22" t="s">
        <v>84</v>
      </c>
      <c r="J70" s="24"/>
      <c r="K70" s="24"/>
      <c r="L70" s="24"/>
      <c r="M70" s="37"/>
      <c r="N70" s="37"/>
      <c r="O70" s="24"/>
      <c r="P70" s="24"/>
      <c r="Q70" s="24"/>
      <c r="R70" s="24"/>
      <c r="S70" s="7">
        <f t="shared" si="10"/>
        <v>7.1132132025239994</v>
      </c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ht="16.5" customHeight="1" thickBot="1">
      <c r="A71" s="15" t="s">
        <v>93</v>
      </c>
      <c r="B71" s="5">
        <v>45566</v>
      </c>
      <c r="C71" s="6" t="s">
        <v>0</v>
      </c>
      <c r="D71" s="6" t="s">
        <v>83</v>
      </c>
      <c r="E71" s="7">
        <v>110217</v>
      </c>
      <c r="F71" s="6" t="s">
        <v>1</v>
      </c>
      <c r="G71" s="6" t="s">
        <v>11</v>
      </c>
      <c r="H71" s="14">
        <f t="shared" si="9"/>
        <v>110.217</v>
      </c>
      <c r="I71" s="22" t="s">
        <v>84</v>
      </c>
      <c r="J71" s="24"/>
      <c r="K71" s="24"/>
      <c r="L71" s="24"/>
      <c r="M71" s="37"/>
      <c r="N71" s="37"/>
      <c r="O71" s="24"/>
      <c r="P71" s="24"/>
      <c r="Q71" s="24"/>
      <c r="R71" s="24"/>
      <c r="S71" s="7">
        <f t="shared" si="10"/>
        <v>6.5782875372239991</v>
      </c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ht="16.5" customHeight="1" thickBot="1">
      <c r="A72" s="15" t="s">
        <v>94</v>
      </c>
      <c r="B72" s="5">
        <v>45597</v>
      </c>
      <c r="C72" s="6" t="s">
        <v>0</v>
      </c>
      <c r="D72" s="6" t="s">
        <v>83</v>
      </c>
      <c r="E72" s="7">
        <v>116654</v>
      </c>
      <c r="F72" s="6" t="s">
        <v>1</v>
      </c>
      <c r="G72" s="6" t="s">
        <v>11</v>
      </c>
      <c r="H72" s="14">
        <f t="shared" si="9"/>
        <v>116.654</v>
      </c>
      <c r="I72" s="22" t="s">
        <v>84</v>
      </c>
      <c r="J72" s="24"/>
      <c r="K72" s="24"/>
      <c r="L72" s="24"/>
      <c r="M72" s="37"/>
      <c r="N72" s="37"/>
      <c r="O72" s="24"/>
      <c r="P72" s="24"/>
      <c r="Q72" s="24"/>
      <c r="R72" s="24"/>
      <c r="S72" s="7">
        <f t="shared" si="10"/>
        <v>6.9624790582880003</v>
      </c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ht="16.5" customHeight="1" thickBot="1">
      <c r="A73" s="15" t="s">
        <v>95</v>
      </c>
      <c r="B73" s="16">
        <v>45627</v>
      </c>
      <c r="C73" s="10" t="s">
        <v>0</v>
      </c>
      <c r="D73" s="10" t="s">
        <v>83</v>
      </c>
      <c r="E73" s="7">
        <v>124754</v>
      </c>
      <c r="F73" s="10" t="s">
        <v>1</v>
      </c>
      <c r="G73" s="10" t="s">
        <v>11</v>
      </c>
      <c r="H73" s="14">
        <f t="shared" si="9"/>
        <v>124.754</v>
      </c>
      <c r="I73" s="22" t="s">
        <v>84</v>
      </c>
      <c r="J73" s="25"/>
      <c r="K73" s="25"/>
      <c r="L73" s="25"/>
      <c r="M73" s="38"/>
      <c r="N73" s="38"/>
      <c r="O73" s="25"/>
      <c r="P73" s="25"/>
      <c r="Q73" s="25"/>
      <c r="R73" s="25"/>
      <c r="S73" s="7">
        <f t="shared" si="10"/>
        <v>7.4459265214880004</v>
      </c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ht="16.5" customHeight="1" thickBot="1">
      <c r="A74" s="4" t="s">
        <v>96</v>
      </c>
      <c r="B74" s="5">
        <v>45292</v>
      </c>
      <c r="C74" s="6" t="s">
        <v>3</v>
      </c>
      <c r="D74" s="6" t="s">
        <v>331</v>
      </c>
      <c r="E74" s="7">
        <v>827196</v>
      </c>
      <c r="F74" s="6" t="s">
        <v>1</v>
      </c>
      <c r="G74" s="6" t="s">
        <v>2</v>
      </c>
      <c r="H74" s="9">
        <f t="shared" ref="H74:H85" si="11">E74/$J$74</f>
        <v>19192.482598607887</v>
      </c>
      <c r="I74" s="17" t="s">
        <v>14</v>
      </c>
      <c r="J74" s="41">
        <v>43.1</v>
      </c>
      <c r="K74" s="26">
        <v>38.9</v>
      </c>
      <c r="L74" s="26" t="s">
        <v>15</v>
      </c>
      <c r="M74" s="35">
        <v>56100</v>
      </c>
      <c r="N74" s="26">
        <v>1</v>
      </c>
      <c r="O74" s="26">
        <v>0.1</v>
      </c>
      <c r="P74" s="23">
        <v>1</v>
      </c>
      <c r="Q74" s="23">
        <v>21</v>
      </c>
      <c r="R74" s="23">
        <v>310</v>
      </c>
      <c r="S74" s="7">
        <f t="shared" ref="S74:S85" si="12">((H74*$K$74*$M$74*$P$74)+(H74*$K$74*$N$74*$Q$74)+(H74*$K$74*$O$74*$R$74))*10^-6</f>
        <v>41922.385403916473</v>
      </c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ht="16.5" customHeight="1" thickBot="1">
      <c r="A75" s="4" t="s">
        <v>97</v>
      </c>
      <c r="B75" s="5">
        <v>45323</v>
      </c>
      <c r="C75" s="6" t="s">
        <v>3</v>
      </c>
      <c r="D75" s="6" t="s">
        <v>331</v>
      </c>
      <c r="E75" s="7">
        <v>743625.5</v>
      </c>
      <c r="F75" s="6" t="s">
        <v>1</v>
      </c>
      <c r="G75" s="6" t="s">
        <v>2</v>
      </c>
      <c r="H75" s="9">
        <f t="shared" si="11"/>
        <v>17253.491879350346</v>
      </c>
      <c r="I75" s="17" t="s">
        <v>14</v>
      </c>
      <c r="J75" s="37"/>
      <c r="K75" s="24"/>
      <c r="L75" s="24"/>
      <c r="M75" s="24"/>
      <c r="N75" s="24"/>
      <c r="O75" s="24"/>
      <c r="P75" s="24"/>
      <c r="Q75" s="24"/>
      <c r="R75" s="24"/>
      <c r="S75" s="7">
        <f t="shared" si="12"/>
        <v>37687.023156761017</v>
      </c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ht="16.5" customHeight="1" thickBot="1">
      <c r="A76" s="4" t="s">
        <v>98</v>
      </c>
      <c r="B76" s="5">
        <v>45352</v>
      </c>
      <c r="C76" s="6" t="s">
        <v>3</v>
      </c>
      <c r="D76" s="6" t="s">
        <v>331</v>
      </c>
      <c r="E76" s="7">
        <v>797154</v>
      </c>
      <c r="F76" s="6" t="s">
        <v>1</v>
      </c>
      <c r="G76" s="6" t="s">
        <v>2</v>
      </c>
      <c r="H76" s="9">
        <f t="shared" si="11"/>
        <v>18495.452436194893</v>
      </c>
      <c r="I76" s="17" t="s">
        <v>14</v>
      </c>
      <c r="J76" s="37"/>
      <c r="K76" s="24"/>
      <c r="L76" s="24"/>
      <c r="M76" s="24"/>
      <c r="N76" s="24"/>
      <c r="O76" s="24"/>
      <c r="P76" s="24"/>
      <c r="Q76" s="24"/>
      <c r="R76" s="24"/>
      <c r="S76" s="7">
        <f t="shared" si="12"/>
        <v>40399.85349817168</v>
      </c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6.5" customHeight="1" thickBot="1">
      <c r="A77" s="4" t="s">
        <v>99</v>
      </c>
      <c r="B77" s="5">
        <v>45383</v>
      </c>
      <c r="C77" s="6" t="s">
        <v>3</v>
      </c>
      <c r="D77" s="6" t="s">
        <v>331</v>
      </c>
      <c r="E77" s="7">
        <v>861572.5</v>
      </c>
      <c r="F77" s="6" t="s">
        <v>1</v>
      </c>
      <c r="G77" s="6" t="s">
        <v>2</v>
      </c>
      <c r="H77" s="9">
        <f t="shared" si="11"/>
        <v>19990.081206496518</v>
      </c>
      <c r="I77" s="17" t="s">
        <v>14</v>
      </c>
      <c r="J77" s="37"/>
      <c r="K77" s="24"/>
      <c r="L77" s="24"/>
      <c r="M77" s="24"/>
      <c r="N77" s="24"/>
      <c r="O77" s="24"/>
      <c r="P77" s="24"/>
      <c r="Q77" s="24"/>
      <c r="R77" s="24"/>
      <c r="S77" s="7">
        <f t="shared" si="12"/>
        <v>43664.590252389775</v>
      </c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6.5" customHeight="1" thickBot="1">
      <c r="A78" s="4" t="s">
        <v>100</v>
      </c>
      <c r="B78" s="5">
        <v>45413</v>
      </c>
      <c r="C78" s="6" t="s">
        <v>3</v>
      </c>
      <c r="D78" s="6" t="s">
        <v>331</v>
      </c>
      <c r="E78" s="7">
        <v>699271</v>
      </c>
      <c r="F78" s="6" t="s">
        <v>1</v>
      </c>
      <c r="G78" s="6" t="s">
        <v>2</v>
      </c>
      <c r="H78" s="9">
        <f t="shared" si="11"/>
        <v>16224.385150812064</v>
      </c>
      <c r="I78" s="17" t="s">
        <v>14</v>
      </c>
      <c r="J78" s="37"/>
      <c r="K78" s="24"/>
      <c r="L78" s="24"/>
      <c r="M78" s="24"/>
      <c r="N78" s="24"/>
      <c r="O78" s="24"/>
      <c r="P78" s="24"/>
      <c r="Q78" s="24"/>
      <c r="R78" s="24"/>
      <c r="S78" s="7">
        <f t="shared" si="12"/>
        <v>35439.13215704872</v>
      </c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6.5" customHeight="1" thickBot="1">
      <c r="A79" s="4" t="s">
        <v>101</v>
      </c>
      <c r="B79" s="5">
        <v>45444</v>
      </c>
      <c r="C79" s="6" t="s">
        <v>3</v>
      </c>
      <c r="D79" s="6" t="s">
        <v>331</v>
      </c>
      <c r="E79" s="7">
        <v>842145.5</v>
      </c>
      <c r="F79" s="6" t="s">
        <v>1</v>
      </c>
      <c r="G79" s="6" t="s">
        <v>2</v>
      </c>
      <c r="H79" s="9">
        <f t="shared" si="11"/>
        <v>19539.338747099766</v>
      </c>
      <c r="I79" s="17" t="s">
        <v>14</v>
      </c>
      <c r="J79" s="37"/>
      <c r="K79" s="24"/>
      <c r="L79" s="24"/>
      <c r="M79" s="24"/>
      <c r="N79" s="24"/>
      <c r="O79" s="24"/>
      <c r="P79" s="24"/>
      <c r="Q79" s="24"/>
      <c r="R79" s="24"/>
      <c r="S79" s="7">
        <f t="shared" si="12"/>
        <v>42680.027728825975</v>
      </c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6.5" customHeight="1" thickBot="1">
      <c r="A80" s="4" t="s">
        <v>102</v>
      </c>
      <c r="B80" s="5">
        <v>45474</v>
      </c>
      <c r="C80" s="6" t="s">
        <v>3</v>
      </c>
      <c r="D80" s="6" t="s">
        <v>331</v>
      </c>
      <c r="E80" s="7">
        <v>756192</v>
      </c>
      <c r="F80" s="6" t="s">
        <v>1</v>
      </c>
      <c r="G80" s="6" t="s">
        <v>2</v>
      </c>
      <c r="H80" s="9">
        <f t="shared" si="11"/>
        <v>17545.05800464037</v>
      </c>
      <c r="I80" s="17" t="s">
        <v>14</v>
      </c>
      <c r="J80" s="37"/>
      <c r="K80" s="24"/>
      <c r="L80" s="24"/>
      <c r="M80" s="24"/>
      <c r="N80" s="24"/>
      <c r="O80" s="24"/>
      <c r="P80" s="24"/>
      <c r="Q80" s="24"/>
      <c r="R80" s="24"/>
      <c r="S80" s="7">
        <f t="shared" si="12"/>
        <v>38323.894776278408</v>
      </c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6.5" customHeight="1" thickBot="1">
      <c r="A81" s="4" t="s">
        <v>103</v>
      </c>
      <c r="B81" s="5">
        <v>45505</v>
      </c>
      <c r="C81" s="6" t="s">
        <v>3</v>
      </c>
      <c r="D81" s="6" t="s">
        <v>331</v>
      </c>
      <c r="E81" s="7">
        <v>821963.5</v>
      </c>
      <c r="F81" s="6" t="s">
        <v>1</v>
      </c>
      <c r="G81" s="6" t="s">
        <v>2</v>
      </c>
      <c r="H81" s="9">
        <f t="shared" si="11"/>
        <v>19071.078886310905</v>
      </c>
      <c r="I81" s="17" t="s">
        <v>14</v>
      </c>
      <c r="J81" s="37"/>
      <c r="K81" s="24"/>
      <c r="L81" s="24"/>
      <c r="M81" s="24"/>
      <c r="N81" s="24"/>
      <c r="O81" s="24"/>
      <c r="P81" s="24"/>
      <c r="Q81" s="24"/>
      <c r="R81" s="24"/>
      <c r="S81" s="7">
        <f t="shared" si="12"/>
        <v>41657.201721178651</v>
      </c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6.5" customHeight="1" thickBot="1">
      <c r="A82" s="4" t="s">
        <v>104</v>
      </c>
      <c r="B82" s="5">
        <v>45536</v>
      </c>
      <c r="C82" s="6" t="s">
        <v>3</v>
      </c>
      <c r="D82" s="6" t="s">
        <v>331</v>
      </c>
      <c r="E82" s="7">
        <v>714256.5</v>
      </c>
      <c r="F82" s="6" t="s">
        <v>1</v>
      </c>
      <c r="G82" s="6" t="s">
        <v>2</v>
      </c>
      <c r="H82" s="9">
        <f t="shared" si="11"/>
        <v>16572.076566125288</v>
      </c>
      <c r="I82" s="17" t="s">
        <v>14</v>
      </c>
      <c r="J82" s="37"/>
      <c r="K82" s="24"/>
      <c r="L82" s="24"/>
      <c r="M82" s="24"/>
      <c r="N82" s="24"/>
      <c r="O82" s="24"/>
      <c r="P82" s="24"/>
      <c r="Q82" s="24"/>
      <c r="R82" s="24"/>
      <c r="S82" s="7">
        <f t="shared" si="12"/>
        <v>36198.598965967511</v>
      </c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6.5" customHeight="1" thickBot="1">
      <c r="A83" s="4" t="s">
        <v>105</v>
      </c>
      <c r="B83" s="5">
        <v>45566</v>
      </c>
      <c r="C83" s="6" t="s">
        <v>3</v>
      </c>
      <c r="D83" s="6" t="s">
        <v>331</v>
      </c>
      <c r="E83" s="7">
        <v>847701</v>
      </c>
      <c r="F83" s="6" t="s">
        <v>1</v>
      </c>
      <c r="G83" s="6" t="s">
        <v>2</v>
      </c>
      <c r="H83" s="9">
        <f t="shared" si="11"/>
        <v>19668.236658932714</v>
      </c>
      <c r="I83" s="17" t="s">
        <v>14</v>
      </c>
      <c r="J83" s="37"/>
      <c r="K83" s="24"/>
      <c r="L83" s="24"/>
      <c r="M83" s="24"/>
      <c r="N83" s="24"/>
      <c r="O83" s="24"/>
      <c r="P83" s="24"/>
      <c r="Q83" s="24"/>
      <c r="R83" s="24"/>
      <c r="S83" s="7">
        <f t="shared" si="12"/>
        <v>42961.581087535953</v>
      </c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6.5" customHeight="1" thickBot="1">
      <c r="A84" s="4" t="s">
        <v>106</v>
      </c>
      <c r="B84" s="5">
        <v>45597</v>
      </c>
      <c r="C84" s="6" t="s">
        <v>3</v>
      </c>
      <c r="D84" s="6" t="s">
        <v>331</v>
      </c>
      <c r="E84" s="7">
        <v>767144.5</v>
      </c>
      <c r="F84" s="6" t="s">
        <v>1</v>
      </c>
      <c r="G84" s="6" t="s">
        <v>2</v>
      </c>
      <c r="H84" s="9">
        <f t="shared" si="11"/>
        <v>17799.176334106727</v>
      </c>
      <c r="I84" s="17" t="s">
        <v>14</v>
      </c>
      <c r="J84" s="37"/>
      <c r="K84" s="24"/>
      <c r="L84" s="24"/>
      <c r="M84" s="24"/>
      <c r="N84" s="24"/>
      <c r="O84" s="24"/>
      <c r="P84" s="24"/>
      <c r="Q84" s="24"/>
      <c r="R84" s="24"/>
      <c r="S84" s="7">
        <f t="shared" si="12"/>
        <v>38878.968696046402</v>
      </c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6.5" customHeight="1" thickBot="1">
      <c r="A85" s="4" t="s">
        <v>107</v>
      </c>
      <c r="B85" s="5">
        <v>45627</v>
      </c>
      <c r="C85" s="6" t="s">
        <v>3</v>
      </c>
      <c r="D85" s="6" t="s">
        <v>331</v>
      </c>
      <c r="E85" s="7">
        <v>879807</v>
      </c>
      <c r="F85" s="6" t="s">
        <v>1</v>
      </c>
      <c r="G85" s="6" t="s">
        <v>2</v>
      </c>
      <c r="H85" s="9">
        <f t="shared" si="11"/>
        <v>20413.155452436193</v>
      </c>
      <c r="I85" s="17" t="s">
        <v>14</v>
      </c>
      <c r="J85" s="38"/>
      <c r="K85" s="25"/>
      <c r="L85" s="25"/>
      <c r="M85" s="25"/>
      <c r="N85" s="25"/>
      <c r="O85" s="25"/>
      <c r="P85" s="25"/>
      <c r="Q85" s="25"/>
      <c r="R85" s="25"/>
      <c r="S85" s="7">
        <f t="shared" si="12"/>
        <v>44588.716743146171</v>
      </c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6.5" customHeight="1" thickBot="1">
      <c r="A86" s="4" t="s">
        <v>108</v>
      </c>
      <c r="B86" s="5">
        <v>45292</v>
      </c>
      <c r="C86" s="6" t="s">
        <v>3</v>
      </c>
      <c r="D86" s="6" t="s">
        <v>6</v>
      </c>
      <c r="E86" s="7">
        <v>562</v>
      </c>
      <c r="F86" s="6" t="s">
        <v>1</v>
      </c>
      <c r="G86" s="6" t="s">
        <v>2</v>
      </c>
      <c r="H86" s="11">
        <f t="shared" ref="H86:H97" si="13">E86/$J$86</f>
        <v>17.186544342507645</v>
      </c>
      <c r="I86" s="18" t="s">
        <v>28</v>
      </c>
      <c r="J86" s="26">
        <v>32.700000000000003</v>
      </c>
      <c r="K86" s="26">
        <v>30.4</v>
      </c>
      <c r="L86" s="26" t="s">
        <v>29</v>
      </c>
      <c r="M86" s="35">
        <v>69300</v>
      </c>
      <c r="N86" s="35">
        <v>25</v>
      </c>
      <c r="O86" s="35">
        <v>8</v>
      </c>
      <c r="P86" s="23">
        <v>1</v>
      </c>
      <c r="Q86" s="23">
        <v>21</v>
      </c>
      <c r="R86" s="23">
        <v>310</v>
      </c>
      <c r="S86" s="7">
        <f t="shared" ref="S86:S97" si="14">((H86*$K$86*$M$86*$P$86)+(H86*$K$86*$N$86*$Q$86)+(H86*$K$86*$O$86*$R$86))*10^-6</f>
        <v>37.777261896024463</v>
      </c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6.5" customHeight="1" thickBot="1">
      <c r="A87" s="4" t="s">
        <v>109</v>
      </c>
      <c r="B87" s="5">
        <v>45323</v>
      </c>
      <c r="C87" s="6" t="s">
        <v>3</v>
      </c>
      <c r="D87" s="6" t="s">
        <v>6</v>
      </c>
      <c r="E87" s="7">
        <v>507.5</v>
      </c>
      <c r="F87" s="6" t="s">
        <v>1</v>
      </c>
      <c r="G87" s="6" t="s">
        <v>2</v>
      </c>
      <c r="H87" s="11">
        <f t="shared" si="13"/>
        <v>15.519877675840977</v>
      </c>
      <c r="I87" s="18" t="s">
        <v>28</v>
      </c>
      <c r="J87" s="24"/>
      <c r="K87" s="24"/>
      <c r="L87" s="24"/>
      <c r="M87" s="24"/>
      <c r="N87" s="24"/>
      <c r="O87" s="24"/>
      <c r="P87" s="24"/>
      <c r="Q87" s="24"/>
      <c r="R87" s="24"/>
      <c r="S87" s="7">
        <f t="shared" si="14"/>
        <v>34.113808562691126</v>
      </c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6.5" customHeight="1" thickBot="1">
      <c r="A88" s="4" t="s">
        <v>110</v>
      </c>
      <c r="B88" s="5">
        <v>45352</v>
      </c>
      <c r="C88" s="6" t="s">
        <v>3</v>
      </c>
      <c r="D88" s="6" t="s">
        <v>6</v>
      </c>
      <c r="E88" s="7">
        <v>549</v>
      </c>
      <c r="F88" s="6" t="s">
        <v>1</v>
      </c>
      <c r="G88" s="6" t="s">
        <v>2</v>
      </c>
      <c r="H88" s="11">
        <f t="shared" si="13"/>
        <v>16.788990825688071</v>
      </c>
      <c r="I88" s="18" t="s">
        <v>28</v>
      </c>
      <c r="J88" s="24"/>
      <c r="K88" s="24"/>
      <c r="L88" s="24"/>
      <c r="M88" s="24"/>
      <c r="N88" s="24"/>
      <c r="O88" s="24"/>
      <c r="P88" s="24"/>
      <c r="Q88" s="24"/>
      <c r="R88" s="24"/>
      <c r="S88" s="7">
        <f t="shared" si="14"/>
        <v>36.903410642201834</v>
      </c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6.5" customHeight="1" thickBot="1">
      <c r="A89" s="4" t="s">
        <v>111</v>
      </c>
      <c r="B89" s="5">
        <v>45383</v>
      </c>
      <c r="C89" s="6" t="s">
        <v>3</v>
      </c>
      <c r="D89" s="6" t="s">
        <v>6</v>
      </c>
      <c r="E89" s="7">
        <v>607</v>
      </c>
      <c r="F89" s="6" t="s">
        <v>1</v>
      </c>
      <c r="G89" s="6" t="s">
        <v>2</v>
      </c>
      <c r="H89" s="11">
        <f t="shared" si="13"/>
        <v>18.562691131498468</v>
      </c>
      <c r="I89" s="18" t="s">
        <v>28</v>
      </c>
      <c r="J89" s="24"/>
      <c r="K89" s="24"/>
      <c r="L89" s="24"/>
      <c r="M89" s="24"/>
      <c r="N89" s="24"/>
      <c r="O89" s="24"/>
      <c r="P89" s="24"/>
      <c r="Q89" s="24"/>
      <c r="R89" s="24"/>
      <c r="S89" s="7">
        <f t="shared" si="14"/>
        <v>40.802131620795102</v>
      </c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6.5" customHeight="1" thickBot="1">
      <c r="A90" s="4" t="s">
        <v>112</v>
      </c>
      <c r="B90" s="5">
        <v>45413</v>
      </c>
      <c r="C90" s="6" t="s">
        <v>3</v>
      </c>
      <c r="D90" s="6" t="s">
        <v>6</v>
      </c>
      <c r="E90" s="7">
        <v>871</v>
      </c>
      <c r="F90" s="6" t="s">
        <v>1</v>
      </c>
      <c r="G90" s="6" t="s">
        <v>2</v>
      </c>
      <c r="H90" s="11">
        <f t="shared" si="13"/>
        <v>26.636085626911314</v>
      </c>
      <c r="I90" s="18" t="s">
        <v>28</v>
      </c>
      <c r="J90" s="24"/>
      <c r="K90" s="24"/>
      <c r="L90" s="24"/>
      <c r="M90" s="24"/>
      <c r="N90" s="24"/>
      <c r="O90" s="24"/>
      <c r="P90" s="24"/>
      <c r="Q90" s="24"/>
      <c r="R90" s="24"/>
      <c r="S90" s="7">
        <f t="shared" si="14"/>
        <v>58.548034006116211</v>
      </c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6.5" customHeight="1" thickBot="1">
      <c r="A91" s="4" t="s">
        <v>113</v>
      </c>
      <c r="B91" s="5">
        <v>45444</v>
      </c>
      <c r="C91" s="6" t="s">
        <v>3</v>
      </c>
      <c r="D91" s="6" t="s">
        <v>6</v>
      </c>
      <c r="E91" s="7">
        <v>882.5</v>
      </c>
      <c r="F91" s="6" t="s">
        <v>1</v>
      </c>
      <c r="G91" s="6" t="s">
        <v>2</v>
      </c>
      <c r="H91" s="11">
        <f t="shared" si="13"/>
        <v>26.987767584097856</v>
      </c>
      <c r="I91" s="18" t="s">
        <v>28</v>
      </c>
      <c r="J91" s="24"/>
      <c r="K91" s="24"/>
      <c r="L91" s="24"/>
      <c r="M91" s="24"/>
      <c r="N91" s="24"/>
      <c r="O91" s="24"/>
      <c r="P91" s="24"/>
      <c r="Q91" s="24"/>
      <c r="R91" s="24"/>
      <c r="S91" s="7">
        <f t="shared" si="14"/>
        <v>59.321056269113136</v>
      </c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6.5" customHeight="1" thickBot="1">
      <c r="A92" s="4" t="s">
        <v>114</v>
      </c>
      <c r="B92" s="5">
        <v>45474</v>
      </c>
      <c r="C92" s="6" t="s">
        <v>3</v>
      </c>
      <c r="D92" s="6" t="s">
        <v>6</v>
      </c>
      <c r="E92" s="7">
        <v>767</v>
      </c>
      <c r="F92" s="6" t="s">
        <v>1</v>
      </c>
      <c r="G92" s="6" t="s">
        <v>2</v>
      </c>
      <c r="H92" s="11">
        <f t="shared" si="13"/>
        <v>23.455657492354739</v>
      </c>
      <c r="I92" s="18" t="s">
        <v>28</v>
      </c>
      <c r="J92" s="24"/>
      <c r="K92" s="24"/>
      <c r="L92" s="24"/>
      <c r="M92" s="24"/>
      <c r="N92" s="24"/>
      <c r="O92" s="24"/>
      <c r="P92" s="24"/>
      <c r="Q92" s="24"/>
      <c r="R92" s="24"/>
      <c r="S92" s="7">
        <f t="shared" si="14"/>
        <v>51.557223975535159</v>
      </c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ht="16.5" customHeight="1" thickBot="1">
      <c r="A93" s="4" t="s">
        <v>115</v>
      </c>
      <c r="B93" s="5">
        <v>45505</v>
      </c>
      <c r="C93" s="6" t="s">
        <v>3</v>
      </c>
      <c r="D93" s="6" t="s">
        <v>6</v>
      </c>
      <c r="E93" s="7">
        <v>821</v>
      </c>
      <c r="F93" s="6" t="s">
        <v>1</v>
      </c>
      <c r="G93" s="6" t="s">
        <v>2</v>
      </c>
      <c r="H93" s="11">
        <f t="shared" si="13"/>
        <v>25.107033639143729</v>
      </c>
      <c r="I93" s="18" t="s">
        <v>28</v>
      </c>
      <c r="J93" s="24"/>
      <c r="K93" s="24"/>
      <c r="L93" s="24"/>
      <c r="M93" s="24"/>
      <c r="N93" s="24"/>
      <c r="O93" s="24"/>
      <c r="P93" s="24"/>
      <c r="Q93" s="24"/>
      <c r="R93" s="24"/>
      <c r="S93" s="7">
        <f t="shared" si="14"/>
        <v>55.18706764525993</v>
      </c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ht="16.5" customHeight="1" thickBot="1">
      <c r="A94" s="4" t="s">
        <v>116</v>
      </c>
      <c r="B94" s="5">
        <v>45536</v>
      </c>
      <c r="C94" s="6" t="s">
        <v>3</v>
      </c>
      <c r="D94" s="6" t="s">
        <v>6</v>
      </c>
      <c r="E94" s="7">
        <v>737.5</v>
      </c>
      <c r="F94" s="6" t="s">
        <v>1</v>
      </c>
      <c r="G94" s="6" t="s">
        <v>2</v>
      </c>
      <c r="H94" s="11">
        <f t="shared" si="13"/>
        <v>22.553516819571865</v>
      </c>
      <c r="I94" s="18" t="s">
        <v>28</v>
      </c>
      <c r="J94" s="24"/>
      <c r="K94" s="24"/>
      <c r="L94" s="24"/>
      <c r="M94" s="24"/>
      <c r="N94" s="24"/>
      <c r="O94" s="24"/>
      <c r="P94" s="24"/>
      <c r="Q94" s="24"/>
      <c r="R94" s="24"/>
      <c r="S94" s="7">
        <f t="shared" si="14"/>
        <v>49.574253822629963</v>
      </c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ht="16.5" customHeight="1" thickBot="1">
      <c r="A95" s="4" t="s">
        <v>117</v>
      </c>
      <c r="B95" s="5">
        <v>45566</v>
      </c>
      <c r="C95" s="6" t="s">
        <v>3</v>
      </c>
      <c r="D95" s="6" t="s">
        <v>6</v>
      </c>
      <c r="E95" s="7">
        <v>894.5</v>
      </c>
      <c r="F95" s="6" t="s">
        <v>1</v>
      </c>
      <c r="G95" s="6" t="s">
        <v>2</v>
      </c>
      <c r="H95" s="11">
        <f t="shared" si="13"/>
        <v>27.354740061162076</v>
      </c>
      <c r="I95" s="18" t="s">
        <v>28</v>
      </c>
      <c r="J95" s="24"/>
      <c r="K95" s="24"/>
      <c r="L95" s="24"/>
      <c r="M95" s="24"/>
      <c r="N95" s="24"/>
      <c r="O95" s="24"/>
      <c r="P95" s="24"/>
      <c r="Q95" s="24"/>
      <c r="R95" s="24"/>
      <c r="S95" s="7">
        <f t="shared" si="14"/>
        <v>60.127688195718633</v>
      </c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ht="16.5" customHeight="1" thickBot="1">
      <c r="A96" s="4" t="s">
        <v>118</v>
      </c>
      <c r="B96" s="5">
        <v>45597</v>
      </c>
      <c r="C96" s="6" t="s">
        <v>3</v>
      </c>
      <c r="D96" s="6" t="s">
        <v>6</v>
      </c>
      <c r="E96" s="7">
        <v>876</v>
      </c>
      <c r="F96" s="6" t="s">
        <v>1</v>
      </c>
      <c r="G96" s="6" t="s">
        <v>2</v>
      </c>
      <c r="H96" s="11">
        <f t="shared" si="13"/>
        <v>26.788990825688071</v>
      </c>
      <c r="I96" s="18" t="s">
        <v>28</v>
      </c>
      <c r="J96" s="24"/>
      <c r="K96" s="24"/>
      <c r="L96" s="24"/>
      <c r="M96" s="24"/>
      <c r="N96" s="24"/>
      <c r="O96" s="24"/>
      <c r="P96" s="24"/>
      <c r="Q96" s="24"/>
      <c r="R96" s="24"/>
      <c r="S96" s="7">
        <f t="shared" si="14"/>
        <v>58.884130642201825</v>
      </c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6.5" customHeight="1" thickBot="1">
      <c r="A97" s="4" t="s">
        <v>119</v>
      </c>
      <c r="B97" s="5">
        <v>45627</v>
      </c>
      <c r="C97" s="6" t="s">
        <v>3</v>
      </c>
      <c r="D97" s="6" t="s">
        <v>6</v>
      </c>
      <c r="E97" s="7">
        <v>820.5</v>
      </c>
      <c r="F97" s="6" t="s">
        <v>1</v>
      </c>
      <c r="G97" s="6" t="s">
        <v>2</v>
      </c>
      <c r="H97" s="11">
        <f t="shared" si="13"/>
        <v>25.091743119266052</v>
      </c>
      <c r="I97" s="18" t="s">
        <v>28</v>
      </c>
      <c r="J97" s="25"/>
      <c r="K97" s="25"/>
      <c r="L97" s="25"/>
      <c r="M97" s="25"/>
      <c r="N97" s="25"/>
      <c r="O97" s="25"/>
      <c r="P97" s="25"/>
      <c r="Q97" s="25"/>
      <c r="R97" s="25"/>
      <c r="S97" s="7">
        <f t="shared" si="14"/>
        <v>55.153457981651364</v>
      </c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6.5" customHeight="1" thickBot="1">
      <c r="A98" s="4" t="s">
        <v>120</v>
      </c>
      <c r="B98" s="5">
        <v>45292</v>
      </c>
      <c r="C98" s="6" t="s">
        <v>3</v>
      </c>
      <c r="D98" s="6" t="s">
        <v>42</v>
      </c>
      <c r="E98" s="7">
        <v>24319</v>
      </c>
      <c r="F98" s="6" t="s">
        <v>7</v>
      </c>
      <c r="G98" s="6" t="s">
        <v>2</v>
      </c>
      <c r="H98" s="12">
        <f t="shared" ref="H98:H121" si="15">E98/1000</f>
        <v>24.318999999999999</v>
      </c>
      <c r="I98" s="19" t="s">
        <v>12</v>
      </c>
      <c r="J98" s="26"/>
      <c r="K98" s="26">
        <v>0.9</v>
      </c>
      <c r="L98" s="26" t="s">
        <v>43</v>
      </c>
      <c r="M98" s="27">
        <v>0.2</v>
      </c>
      <c r="N98" s="27" t="s">
        <v>44</v>
      </c>
      <c r="O98" s="30">
        <v>23900</v>
      </c>
      <c r="P98" s="33"/>
      <c r="Q98" s="34"/>
      <c r="R98" s="34"/>
      <c r="S98" s="13">
        <f t="shared" ref="S98:S109" si="16">H98*$K$98*$M$98*$O$98</f>
        <v>104620.338</v>
      </c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6.5" customHeight="1" thickBot="1">
      <c r="A99" s="4" t="s">
        <v>121</v>
      </c>
      <c r="B99" s="5">
        <v>45323</v>
      </c>
      <c r="C99" s="6" t="s">
        <v>3</v>
      </c>
      <c r="D99" s="6" t="s">
        <v>42</v>
      </c>
      <c r="E99" s="7">
        <v>22802</v>
      </c>
      <c r="F99" s="6" t="s">
        <v>7</v>
      </c>
      <c r="G99" s="6" t="s">
        <v>2</v>
      </c>
      <c r="H99" s="12">
        <f t="shared" si="15"/>
        <v>22.802</v>
      </c>
      <c r="I99" s="19" t="s">
        <v>12</v>
      </c>
      <c r="J99" s="24"/>
      <c r="K99" s="24"/>
      <c r="L99" s="24"/>
      <c r="M99" s="28"/>
      <c r="N99" s="28"/>
      <c r="O99" s="31"/>
      <c r="P99" s="31"/>
      <c r="Q99" s="31"/>
      <c r="R99" s="31"/>
      <c r="S99" s="13">
        <f t="shared" si="16"/>
        <v>98094.203999999998</v>
      </c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ht="16.5" customHeight="1" thickBot="1">
      <c r="A100" s="4" t="s">
        <v>122</v>
      </c>
      <c r="B100" s="5">
        <v>45352</v>
      </c>
      <c r="C100" s="6" t="s">
        <v>3</v>
      </c>
      <c r="D100" s="6" t="s">
        <v>42</v>
      </c>
      <c r="E100" s="7">
        <v>23466</v>
      </c>
      <c r="F100" s="6" t="s">
        <v>7</v>
      </c>
      <c r="G100" s="6" t="s">
        <v>2</v>
      </c>
      <c r="H100" s="12">
        <f t="shared" si="15"/>
        <v>23.466000000000001</v>
      </c>
      <c r="I100" s="19" t="s">
        <v>12</v>
      </c>
      <c r="J100" s="24"/>
      <c r="K100" s="24"/>
      <c r="L100" s="24"/>
      <c r="M100" s="28"/>
      <c r="N100" s="28"/>
      <c r="O100" s="31"/>
      <c r="P100" s="31"/>
      <c r="Q100" s="31"/>
      <c r="R100" s="31"/>
      <c r="S100" s="13">
        <f t="shared" si="16"/>
        <v>100950.732</v>
      </c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ht="16.5" customHeight="1" thickBot="1">
      <c r="A101" s="4" t="s">
        <v>123</v>
      </c>
      <c r="B101" s="5">
        <v>45383</v>
      </c>
      <c r="C101" s="6" t="s">
        <v>3</v>
      </c>
      <c r="D101" s="6" t="s">
        <v>42</v>
      </c>
      <c r="E101" s="7">
        <v>24883.5</v>
      </c>
      <c r="F101" s="6" t="s">
        <v>7</v>
      </c>
      <c r="G101" s="6" t="s">
        <v>2</v>
      </c>
      <c r="H101" s="12">
        <f t="shared" si="15"/>
        <v>24.883500000000002</v>
      </c>
      <c r="I101" s="19" t="s">
        <v>12</v>
      </c>
      <c r="J101" s="24"/>
      <c r="K101" s="24"/>
      <c r="L101" s="24"/>
      <c r="M101" s="28"/>
      <c r="N101" s="28"/>
      <c r="O101" s="31"/>
      <c r="P101" s="31"/>
      <c r="Q101" s="31"/>
      <c r="R101" s="31"/>
      <c r="S101" s="13">
        <f t="shared" si="16"/>
        <v>107048.81700000002</v>
      </c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ht="16.5" customHeight="1" thickBot="1">
      <c r="A102" s="4" t="s">
        <v>124</v>
      </c>
      <c r="B102" s="5">
        <v>45413</v>
      </c>
      <c r="C102" s="6" t="s">
        <v>3</v>
      </c>
      <c r="D102" s="6" t="s">
        <v>42</v>
      </c>
      <c r="E102" s="7">
        <v>23562</v>
      </c>
      <c r="F102" s="6" t="s">
        <v>7</v>
      </c>
      <c r="G102" s="6" t="s">
        <v>2</v>
      </c>
      <c r="H102" s="12">
        <f t="shared" si="15"/>
        <v>23.562000000000001</v>
      </c>
      <c r="I102" s="19" t="s">
        <v>12</v>
      </c>
      <c r="J102" s="24"/>
      <c r="K102" s="24"/>
      <c r="L102" s="24"/>
      <c r="M102" s="28"/>
      <c r="N102" s="28"/>
      <c r="O102" s="31"/>
      <c r="P102" s="31"/>
      <c r="Q102" s="31"/>
      <c r="R102" s="31"/>
      <c r="S102" s="13">
        <f t="shared" si="16"/>
        <v>101363.724</v>
      </c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ht="16.5" customHeight="1" thickBot="1">
      <c r="A103" s="4" t="s">
        <v>125</v>
      </c>
      <c r="B103" s="5">
        <v>45444</v>
      </c>
      <c r="C103" s="6" t="s">
        <v>3</v>
      </c>
      <c r="D103" s="6" t="s">
        <v>42</v>
      </c>
      <c r="E103" s="7">
        <v>24371.5</v>
      </c>
      <c r="F103" s="6" t="s">
        <v>7</v>
      </c>
      <c r="G103" s="6" t="s">
        <v>2</v>
      </c>
      <c r="H103" s="12">
        <f t="shared" si="15"/>
        <v>24.371500000000001</v>
      </c>
      <c r="I103" s="19" t="s">
        <v>12</v>
      </c>
      <c r="J103" s="24"/>
      <c r="K103" s="24"/>
      <c r="L103" s="24"/>
      <c r="M103" s="28"/>
      <c r="N103" s="28"/>
      <c r="O103" s="31"/>
      <c r="P103" s="31"/>
      <c r="Q103" s="31"/>
      <c r="R103" s="31"/>
      <c r="S103" s="13">
        <f t="shared" si="16"/>
        <v>104846.19300000003</v>
      </c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ht="16.5" customHeight="1" thickBot="1">
      <c r="A104" s="4" t="s">
        <v>126</v>
      </c>
      <c r="B104" s="5">
        <v>45474</v>
      </c>
      <c r="C104" s="6" t="s">
        <v>3</v>
      </c>
      <c r="D104" s="6" t="s">
        <v>42</v>
      </c>
      <c r="E104" s="7">
        <v>22291</v>
      </c>
      <c r="F104" s="6" t="s">
        <v>7</v>
      </c>
      <c r="G104" s="6" t="s">
        <v>2</v>
      </c>
      <c r="H104" s="12">
        <f t="shared" si="15"/>
        <v>22.291</v>
      </c>
      <c r="I104" s="19" t="s">
        <v>12</v>
      </c>
      <c r="J104" s="24"/>
      <c r="K104" s="24"/>
      <c r="L104" s="24"/>
      <c r="M104" s="28"/>
      <c r="N104" s="28"/>
      <c r="O104" s="31"/>
      <c r="P104" s="31"/>
      <c r="Q104" s="31"/>
      <c r="R104" s="31"/>
      <c r="S104" s="13">
        <f t="shared" si="16"/>
        <v>95895.882000000012</v>
      </c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ht="16.5" customHeight="1" thickBot="1">
      <c r="A105" s="4" t="s">
        <v>127</v>
      </c>
      <c r="B105" s="5">
        <v>45505</v>
      </c>
      <c r="C105" s="6" t="s">
        <v>3</v>
      </c>
      <c r="D105" s="6" t="s">
        <v>42</v>
      </c>
      <c r="E105" s="7">
        <v>24055.5</v>
      </c>
      <c r="F105" s="6" t="s">
        <v>7</v>
      </c>
      <c r="G105" s="6" t="s">
        <v>2</v>
      </c>
      <c r="H105" s="12">
        <f t="shared" si="15"/>
        <v>24.055499999999999</v>
      </c>
      <c r="I105" s="19" t="s">
        <v>12</v>
      </c>
      <c r="J105" s="24"/>
      <c r="K105" s="24"/>
      <c r="L105" s="24"/>
      <c r="M105" s="28"/>
      <c r="N105" s="28"/>
      <c r="O105" s="31"/>
      <c r="P105" s="31"/>
      <c r="Q105" s="31"/>
      <c r="R105" s="31"/>
      <c r="S105" s="13">
        <f t="shared" si="16"/>
        <v>103486.76100000001</v>
      </c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ht="16.5" customHeight="1" thickBot="1">
      <c r="A106" s="4" t="s">
        <v>128</v>
      </c>
      <c r="B106" s="5">
        <v>45536</v>
      </c>
      <c r="C106" s="6" t="s">
        <v>3</v>
      </c>
      <c r="D106" s="6" t="s">
        <v>42</v>
      </c>
      <c r="E106" s="7">
        <v>22552.5</v>
      </c>
      <c r="F106" s="6" t="s">
        <v>7</v>
      </c>
      <c r="G106" s="6" t="s">
        <v>2</v>
      </c>
      <c r="H106" s="12">
        <f t="shared" si="15"/>
        <v>22.552499999999998</v>
      </c>
      <c r="I106" s="19" t="s">
        <v>12</v>
      </c>
      <c r="J106" s="24"/>
      <c r="K106" s="24"/>
      <c r="L106" s="24"/>
      <c r="M106" s="28"/>
      <c r="N106" s="28"/>
      <c r="O106" s="31"/>
      <c r="P106" s="31"/>
      <c r="Q106" s="31"/>
      <c r="R106" s="31"/>
      <c r="S106" s="13">
        <f t="shared" si="16"/>
        <v>97020.854999999996</v>
      </c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ht="16.5" customHeight="1" thickBot="1">
      <c r="A107" s="4" t="s">
        <v>129</v>
      </c>
      <c r="B107" s="5">
        <v>45566</v>
      </c>
      <c r="C107" s="6" t="s">
        <v>3</v>
      </c>
      <c r="D107" s="6" t="s">
        <v>42</v>
      </c>
      <c r="E107" s="7">
        <v>24856.5</v>
      </c>
      <c r="F107" s="6" t="s">
        <v>7</v>
      </c>
      <c r="G107" s="6" t="s">
        <v>2</v>
      </c>
      <c r="H107" s="12">
        <f t="shared" si="15"/>
        <v>24.8565</v>
      </c>
      <c r="I107" s="19" t="s">
        <v>12</v>
      </c>
      <c r="J107" s="24"/>
      <c r="K107" s="24"/>
      <c r="L107" s="24"/>
      <c r="M107" s="28"/>
      <c r="N107" s="28"/>
      <c r="O107" s="31"/>
      <c r="P107" s="31"/>
      <c r="Q107" s="31"/>
      <c r="R107" s="31"/>
      <c r="S107" s="13">
        <f t="shared" si="16"/>
        <v>106932.663</v>
      </c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ht="16.5" customHeight="1" thickBot="1">
      <c r="A108" s="4" t="s">
        <v>130</v>
      </c>
      <c r="B108" s="5">
        <v>45597</v>
      </c>
      <c r="C108" s="6" t="s">
        <v>3</v>
      </c>
      <c r="D108" s="6" t="s">
        <v>42</v>
      </c>
      <c r="E108" s="7">
        <v>22223</v>
      </c>
      <c r="F108" s="6" t="s">
        <v>7</v>
      </c>
      <c r="G108" s="6" t="s">
        <v>2</v>
      </c>
      <c r="H108" s="12">
        <f t="shared" si="15"/>
        <v>22.222999999999999</v>
      </c>
      <c r="I108" s="19" t="s">
        <v>12</v>
      </c>
      <c r="J108" s="24"/>
      <c r="K108" s="24"/>
      <c r="L108" s="24"/>
      <c r="M108" s="28"/>
      <c r="N108" s="28"/>
      <c r="O108" s="31"/>
      <c r="P108" s="31"/>
      <c r="Q108" s="31"/>
      <c r="R108" s="31"/>
      <c r="S108" s="13">
        <f t="shared" si="16"/>
        <v>95603.346000000005</v>
      </c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ht="16.5" customHeight="1" thickBot="1">
      <c r="A109" s="4" t="s">
        <v>131</v>
      </c>
      <c r="B109" s="5">
        <v>45627</v>
      </c>
      <c r="C109" s="6" t="s">
        <v>3</v>
      </c>
      <c r="D109" s="6" t="s">
        <v>42</v>
      </c>
      <c r="E109" s="7">
        <v>26570</v>
      </c>
      <c r="F109" s="6" t="s">
        <v>7</v>
      </c>
      <c r="G109" s="6" t="s">
        <v>2</v>
      </c>
      <c r="H109" s="12">
        <f t="shared" si="15"/>
        <v>26.57</v>
      </c>
      <c r="I109" s="19" t="s">
        <v>12</v>
      </c>
      <c r="J109" s="25"/>
      <c r="K109" s="25"/>
      <c r="L109" s="25"/>
      <c r="M109" s="29"/>
      <c r="N109" s="28"/>
      <c r="O109" s="32"/>
      <c r="P109" s="31"/>
      <c r="Q109" s="31"/>
      <c r="R109" s="31"/>
      <c r="S109" s="13">
        <f t="shared" si="16"/>
        <v>114304.14000000001</v>
      </c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6.5" customHeight="1" thickBot="1">
      <c r="A110" s="4" t="s">
        <v>132</v>
      </c>
      <c r="B110" s="5">
        <v>45292</v>
      </c>
      <c r="C110" s="6" t="s">
        <v>3</v>
      </c>
      <c r="D110" s="6" t="s">
        <v>8</v>
      </c>
      <c r="E110" s="7">
        <v>1240</v>
      </c>
      <c r="F110" s="6" t="s">
        <v>7</v>
      </c>
      <c r="G110" s="6" t="s">
        <v>2</v>
      </c>
      <c r="H110" s="14">
        <f t="shared" si="15"/>
        <v>1.24</v>
      </c>
      <c r="I110" s="19" t="s">
        <v>12</v>
      </c>
      <c r="J110" s="26"/>
      <c r="K110" s="26">
        <v>0.9</v>
      </c>
      <c r="L110" s="26" t="s">
        <v>43</v>
      </c>
      <c r="M110" s="27">
        <v>0.4</v>
      </c>
      <c r="N110" s="27" t="s">
        <v>44</v>
      </c>
      <c r="O110" s="30">
        <v>11700</v>
      </c>
      <c r="P110" s="33"/>
      <c r="Q110" s="34"/>
      <c r="R110" s="34"/>
      <c r="S110" s="7">
        <f t="shared" ref="S110:S121" si="17">H110*$K$110*$M$110*$O$110</f>
        <v>5222.880000000001</v>
      </c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ht="16.5" customHeight="1" thickBot="1">
      <c r="A111" s="4" t="s">
        <v>133</v>
      </c>
      <c r="B111" s="5">
        <v>45323</v>
      </c>
      <c r="C111" s="6" t="s">
        <v>3</v>
      </c>
      <c r="D111" s="6" t="s">
        <v>8</v>
      </c>
      <c r="E111" s="7">
        <v>1275.5</v>
      </c>
      <c r="F111" s="6" t="s">
        <v>7</v>
      </c>
      <c r="G111" s="6" t="s">
        <v>2</v>
      </c>
      <c r="H111" s="14">
        <f t="shared" si="15"/>
        <v>1.2755000000000001</v>
      </c>
      <c r="I111" s="19" t="s">
        <v>12</v>
      </c>
      <c r="J111" s="24"/>
      <c r="K111" s="24"/>
      <c r="L111" s="24"/>
      <c r="M111" s="28"/>
      <c r="N111" s="28"/>
      <c r="O111" s="31"/>
      <c r="P111" s="31"/>
      <c r="Q111" s="31"/>
      <c r="R111" s="31"/>
      <c r="S111" s="7">
        <f t="shared" si="17"/>
        <v>5372.4059999999999</v>
      </c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ht="16.5" customHeight="1" thickBot="1">
      <c r="A112" s="4" t="s">
        <v>134</v>
      </c>
      <c r="B112" s="5">
        <v>45352</v>
      </c>
      <c r="C112" s="6" t="s">
        <v>3</v>
      </c>
      <c r="D112" s="6" t="s">
        <v>8</v>
      </c>
      <c r="E112" s="7">
        <v>1310</v>
      </c>
      <c r="F112" s="6" t="s">
        <v>7</v>
      </c>
      <c r="G112" s="6" t="s">
        <v>2</v>
      </c>
      <c r="H112" s="14">
        <f t="shared" si="15"/>
        <v>1.31</v>
      </c>
      <c r="I112" s="19" t="s">
        <v>12</v>
      </c>
      <c r="J112" s="24"/>
      <c r="K112" s="24"/>
      <c r="L112" s="24"/>
      <c r="M112" s="28"/>
      <c r="N112" s="28"/>
      <c r="O112" s="31"/>
      <c r="P112" s="31"/>
      <c r="Q112" s="31"/>
      <c r="R112" s="31"/>
      <c r="S112" s="7">
        <f t="shared" si="17"/>
        <v>5517.72</v>
      </c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ht="16.5" customHeight="1" thickBot="1">
      <c r="A113" s="4" t="s">
        <v>135</v>
      </c>
      <c r="B113" s="5">
        <v>45383</v>
      </c>
      <c r="C113" s="6" t="s">
        <v>3</v>
      </c>
      <c r="D113" s="6" t="s">
        <v>8</v>
      </c>
      <c r="E113" s="7">
        <v>1157.5</v>
      </c>
      <c r="F113" s="6" t="s">
        <v>7</v>
      </c>
      <c r="G113" s="6" t="s">
        <v>2</v>
      </c>
      <c r="H113" s="14">
        <f t="shared" si="15"/>
        <v>1.1575</v>
      </c>
      <c r="I113" s="19" t="s">
        <v>12</v>
      </c>
      <c r="J113" s="24"/>
      <c r="K113" s="24"/>
      <c r="L113" s="24"/>
      <c r="M113" s="28"/>
      <c r="N113" s="28"/>
      <c r="O113" s="31"/>
      <c r="P113" s="31"/>
      <c r="Q113" s="31"/>
      <c r="R113" s="31"/>
      <c r="S113" s="7">
        <f t="shared" si="17"/>
        <v>4875.3900000000003</v>
      </c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ht="16.5" customHeight="1" thickBot="1">
      <c r="A114" s="4" t="s">
        <v>136</v>
      </c>
      <c r="B114" s="5">
        <v>45413</v>
      </c>
      <c r="C114" s="6" t="s">
        <v>3</v>
      </c>
      <c r="D114" s="6" t="s">
        <v>8</v>
      </c>
      <c r="E114" s="7">
        <v>1246</v>
      </c>
      <c r="F114" s="6" t="s">
        <v>7</v>
      </c>
      <c r="G114" s="6" t="s">
        <v>2</v>
      </c>
      <c r="H114" s="14">
        <f t="shared" si="15"/>
        <v>1.246</v>
      </c>
      <c r="I114" s="19" t="s">
        <v>12</v>
      </c>
      <c r="J114" s="24"/>
      <c r="K114" s="24"/>
      <c r="L114" s="24"/>
      <c r="M114" s="28"/>
      <c r="N114" s="28"/>
      <c r="O114" s="31"/>
      <c r="P114" s="31"/>
      <c r="Q114" s="31"/>
      <c r="R114" s="31"/>
      <c r="S114" s="7">
        <f t="shared" si="17"/>
        <v>5248.152</v>
      </c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ht="16.5" customHeight="1" thickBot="1">
      <c r="A115" s="4" t="s">
        <v>137</v>
      </c>
      <c r="B115" s="5">
        <v>45444</v>
      </c>
      <c r="C115" s="6" t="s">
        <v>3</v>
      </c>
      <c r="D115" s="6" t="s">
        <v>8</v>
      </c>
      <c r="E115" s="7">
        <v>1173.5</v>
      </c>
      <c r="F115" s="6" t="s">
        <v>7</v>
      </c>
      <c r="G115" s="6" t="s">
        <v>2</v>
      </c>
      <c r="H115" s="14">
        <f t="shared" si="15"/>
        <v>1.1735</v>
      </c>
      <c r="I115" s="19" t="s">
        <v>12</v>
      </c>
      <c r="J115" s="24"/>
      <c r="K115" s="24"/>
      <c r="L115" s="24"/>
      <c r="M115" s="28"/>
      <c r="N115" s="28"/>
      <c r="O115" s="31"/>
      <c r="P115" s="31"/>
      <c r="Q115" s="31"/>
      <c r="R115" s="31"/>
      <c r="S115" s="7">
        <f t="shared" si="17"/>
        <v>4942.7820000000002</v>
      </c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ht="16.5" customHeight="1" thickBot="1">
      <c r="A116" s="4" t="s">
        <v>138</v>
      </c>
      <c r="B116" s="5">
        <v>45474</v>
      </c>
      <c r="C116" s="6" t="s">
        <v>3</v>
      </c>
      <c r="D116" s="6" t="s">
        <v>8</v>
      </c>
      <c r="E116" s="7">
        <v>1209</v>
      </c>
      <c r="F116" s="6" t="s">
        <v>7</v>
      </c>
      <c r="G116" s="6" t="s">
        <v>2</v>
      </c>
      <c r="H116" s="14">
        <f t="shared" si="15"/>
        <v>1.2090000000000001</v>
      </c>
      <c r="I116" s="19" t="s">
        <v>12</v>
      </c>
      <c r="J116" s="24"/>
      <c r="K116" s="24"/>
      <c r="L116" s="24"/>
      <c r="M116" s="28"/>
      <c r="N116" s="28"/>
      <c r="O116" s="31"/>
      <c r="P116" s="31"/>
      <c r="Q116" s="31"/>
      <c r="R116" s="31"/>
      <c r="S116" s="7">
        <f t="shared" si="17"/>
        <v>5092.3080000000009</v>
      </c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ht="16.5" customHeight="1" thickBot="1">
      <c r="A117" s="4" t="s">
        <v>139</v>
      </c>
      <c r="B117" s="5">
        <v>45505</v>
      </c>
      <c r="C117" s="6" t="s">
        <v>3</v>
      </c>
      <c r="D117" s="6" t="s">
        <v>8</v>
      </c>
      <c r="E117" s="7">
        <v>1281.5</v>
      </c>
      <c r="F117" s="6" t="s">
        <v>7</v>
      </c>
      <c r="G117" s="6" t="s">
        <v>2</v>
      </c>
      <c r="H117" s="14">
        <f t="shared" si="15"/>
        <v>1.2815000000000001</v>
      </c>
      <c r="I117" s="19" t="s">
        <v>12</v>
      </c>
      <c r="J117" s="24"/>
      <c r="K117" s="24"/>
      <c r="L117" s="24"/>
      <c r="M117" s="28"/>
      <c r="N117" s="28"/>
      <c r="O117" s="31"/>
      <c r="P117" s="31"/>
      <c r="Q117" s="31"/>
      <c r="R117" s="31"/>
      <c r="S117" s="7">
        <f t="shared" si="17"/>
        <v>5397.6780000000008</v>
      </c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ht="16.5" customHeight="1" thickBot="1">
      <c r="A118" s="4" t="s">
        <v>140</v>
      </c>
      <c r="B118" s="5">
        <v>45536</v>
      </c>
      <c r="C118" s="6" t="s">
        <v>3</v>
      </c>
      <c r="D118" s="6" t="s">
        <v>8</v>
      </c>
      <c r="E118" s="7">
        <v>1143</v>
      </c>
      <c r="F118" s="6" t="s">
        <v>7</v>
      </c>
      <c r="G118" s="6" t="s">
        <v>2</v>
      </c>
      <c r="H118" s="14">
        <f t="shared" si="15"/>
        <v>1.143</v>
      </c>
      <c r="I118" s="19" t="s">
        <v>12</v>
      </c>
      <c r="J118" s="24"/>
      <c r="K118" s="24"/>
      <c r="L118" s="24"/>
      <c r="M118" s="28"/>
      <c r="N118" s="28"/>
      <c r="O118" s="31"/>
      <c r="P118" s="31"/>
      <c r="Q118" s="31"/>
      <c r="R118" s="31"/>
      <c r="S118" s="7">
        <f t="shared" si="17"/>
        <v>4814.3159999999998</v>
      </c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ht="16.5" customHeight="1" thickBot="1">
      <c r="A119" s="4" t="s">
        <v>141</v>
      </c>
      <c r="B119" s="5">
        <v>45566</v>
      </c>
      <c r="C119" s="6" t="s">
        <v>3</v>
      </c>
      <c r="D119" s="6" t="s">
        <v>8</v>
      </c>
      <c r="E119" s="7">
        <v>1237</v>
      </c>
      <c r="F119" s="6" t="s">
        <v>7</v>
      </c>
      <c r="G119" s="6" t="s">
        <v>2</v>
      </c>
      <c r="H119" s="14">
        <f t="shared" si="15"/>
        <v>1.2370000000000001</v>
      </c>
      <c r="I119" s="19" t="s">
        <v>12</v>
      </c>
      <c r="J119" s="24"/>
      <c r="K119" s="24"/>
      <c r="L119" s="24"/>
      <c r="M119" s="28"/>
      <c r="N119" s="28"/>
      <c r="O119" s="31"/>
      <c r="P119" s="31"/>
      <c r="Q119" s="31"/>
      <c r="R119" s="31"/>
      <c r="S119" s="7">
        <f t="shared" si="17"/>
        <v>5210.2440000000015</v>
      </c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ht="16.5" customHeight="1" thickBot="1">
      <c r="A120" s="4" t="s">
        <v>142</v>
      </c>
      <c r="B120" s="5">
        <v>45597</v>
      </c>
      <c r="C120" s="6" t="s">
        <v>3</v>
      </c>
      <c r="D120" s="6" t="s">
        <v>8</v>
      </c>
      <c r="E120" s="7">
        <v>1165</v>
      </c>
      <c r="F120" s="6" t="s">
        <v>7</v>
      </c>
      <c r="G120" s="6" t="s">
        <v>2</v>
      </c>
      <c r="H120" s="14">
        <f t="shared" si="15"/>
        <v>1.165</v>
      </c>
      <c r="I120" s="19" t="s">
        <v>12</v>
      </c>
      <c r="J120" s="24"/>
      <c r="K120" s="24"/>
      <c r="L120" s="24"/>
      <c r="M120" s="28"/>
      <c r="N120" s="28"/>
      <c r="O120" s="31"/>
      <c r="P120" s="31"/>
      <c r="Q120" s="31"/>
      <c r="R120" s="31"/>
      <c r="S120" s="7">
        <f t="shared" si="17"/>
        <v>4906.9799999999996</v>
      </c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ht="16.5" customHeight="1" thickBot="1">
      <c r="A121" s="4" t="s">
        <v>143</v>
      </c>
      <c r="B121" s="5">
        <v>45627</v>
      </c>
      <c r="C121" s="6" t="s">
        <v>3</v>
      </c>
      <c r="D121" s="6" t="s">
        <v>8</v>
      </c>
      <c r="E121" s="7">
        <v>1157.5</v>
      </c>
      <c r="F121" s="6" t="s">
        <v>7</v>
      </c>
      <c r="G121" s="6" t="s">
        <v>2</v>
      </c>
      <c r="H121" s="14">
        <f t="shared" si="15"/>
        <v>1.1575</v>
      </c>
      <c r="I121" s="19" t="s">
        <v>12</v>
      </c>
      <c r="J121" s="25"/>
      <c r="K121" s="25"/>
      <c r="L121" s="25"/>
      <c r="M121" s="29"/>
      <c r="N121" s="28"/>
      <c r="O121" s="32"/>
      <c r="P121" s="31"/>
      <c r="Q121" s="31"/>
      <c r="R121" s="31"/>
      <c r="S121" s="7">
        <f t="shared" si="17"/>
        <v>4875.3900000000003</v>
      </c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ht="16.5" customHeight="1" thickBot="1">
      <c r="A122" s="4" t="s">
        <v>144</v>
      </c>
      <c r="B122" s="5">
        <v>45292</v>
      </c>
      <c r="C122" s="6" t="s">
        <v>3</v>
      </c>
      <c r="D122" s="6" t="s">
        <v>9</v>
      </c>
      <c r="E122" s="7">
        <v>100.64999999999999</v>
      </c>
      <c r="F122" s="6" t="s">
        <v>10</v>
      </c>
      <c r="G122" s="6" t="s">
        <v>11</v>
      </c>
      <c r="H122" s="12">
        <f t="shared" ref="H122:H133" si="18">E122*10^6</f>
        <v>100649999.99999999</v>
      </c>
      <c r="I122" s="21" t="s">
        <v>69</v>
      </c>
      <c r="J122" s="26">
        <v>9.6</v>
      </c>
      <c r="K122" s="26"/>
      <c r="L122" s="26" t="s">
        <v>70</v>
      </c>
      <c r="M122" s="26">
        <v>0.45669999999999999</v>
      </c>
      <c r="N122" s="26">
        <v>3.5999999999999999E-3</v>
      </c>
      <c r="O122" s="26">
        <v>8.0999999999999996E-3</v>
      </c>
      <c r="P122" s="23">
        <v>1</v>
      </c>
      <c r="Q122" s="23">
        <v>21</v>
      </c>
      <c r="R122" s="23">
        <v>310</v>
      </c>
      <c r="S122" s="7">
        <f t="shared" ref="S122:S133" si="19">((H122*$J$122*$M$122*$P$122)+(H122*$J$122*$N$122*$Q$122)+(H122*$J$122*$O$122*$R$122))*10^-6</f>
        <v>2940.5581919999991</v>
      </c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ht="16.5" customHeight="1" thickBot="1">
      <c r="A123" s="4" t="s">
        <v>145</v>
      </c>
      <c r="B123" s="5">
        <v>45323</v>
      </c>
      <c r="C123" s="6" t="s">
        <v>3</v>
      </c>
      <c r="D123" s="6" t="s">
        <v>9</v>
      </c>
      <c r="E123" s="7">
        <v>85.100000000000009</v>
      </c>
      <c r="F123" s="6" t="s">
        <v>10</v>
      </c>
      <c r="G123" s="6" t="s">
        <v>11</v>
      </c>
      <c r="H123" s="12">
        <f t="shared" si="18"/>
        <v>85100000.000000015</v>
      </c>
      <c r="I123" s="21" t="s">
        <v>69</v>
      </c>
      <c r="J123" s="24"/>
      <c r="K123" s="24"/>
      <c r="L123" s="24"/>
      <c r="M123" s="24"/>
      <c r="N123" s="24"/>
      <c r="O123" s="24"/>
      <c r="P123" s="24"/>
      <c r="Q123" s="24"/>
      <c r="R123" s="24"/>
      <c r="S123" s="7">
        <f t="shared" si="19"/>
        <v>2486.2543680000003</v>
      </c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ht="16.5" customHeight="1" thickBot="1">
      <c r="A124" s="4" t="s">
        <v>146</v>
      </c>
      <c r="B124" s="5">
        <v>45352</v>
      </c>
      <c r="C124" s="6" t="s">
        <v>3</v>
      </c>
      <c r="D124" s="6" t="s">
        <v>9</v>
      </c>
      <c r="E124" s="7">
        <v>113.49999999999999</v>
      </c>
      <c r="F124" s="6" t="s">
        <v>10</v>
      </c>
      <c r="G124" s="6" t="s">
        <v>11</v>
      </c>
      <c r="H124" s="12">
        <f t="shared" si="18"/>
        <v>113499999.99999999</v>
      </c>
      <c r="I124" s="21" t="s">
        <v>69</v>
      </c>
      <c r="J124" s="24"/>
      <c r="K124" s="24"/>
      <c r="L124" s="24"/>
      <c r="M124" s="24"/>
      <c r="N124" s="24"/>
      <c r="O124" s="24"/>
      <c r="P124" s="24"/>
      <c r="Q124" s="24"/>
      <c r="R124" s="24"/>
      <c r="S124" s="7">
        <f t="shared" si="19"/>
        <v>3315.9796799999995</v>
      </c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ht="16.5" customHeight="1" thickBot="1">
      <c r="A125" s="4" t="s">
        <v>147</v>
      </c>
      <c r="B125" s="5">
        <v>45383</v>
      </c>
      <c r="C125" s="6" t="s">
        <v>3</v>
      </c>
      <c r="D125" s="6" t="s">
        <v>9</v>
      </c>
      <c r="E125" s="7">
        <v>77.650000000000006</v>
      </c>
      <c r="F125" s="6" t="s">
        <v>10</v>
      </c>
      <c r="G125" s="6" t="s">
        <v>11</v>
      </c>
      <c r="H125" s="12">
        <f t="shared" si="18"/>
        <v>77650000</v>
      </c>
      <c r="I125" s="21" t="s">
        <v>69</v>
      </c>
      <c r="J125" s="24"/>
      <c r="K125" s="24"/>
      <c r="L125" s="24"/>
      <c r="M125" s="24"/>
      <c r="N125" s="24"/>
      <c r="O125" s="24"/>
      <c r="P125" s="24"/>
      <c r="Q125" s="24"/>
      <c r="R125" s="24"/>
      <c r="S125" s="7">
        <f t="shared" si="19"/>
        <v>2268.5975519999997</v>
      </c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ht="16.5" customHeight="1" thickBot="1">
      <c r="A126" s="4" t="s">
        <v>148</v>
      </c>
      <c r="B126" s="5">
        <v>45413</v>
      </c>
      <c r="C126" s="6" t="s">
        <v>3</v>
      </c>
      <c r="D126" s="6" t="s">
        <v>9</v>
      </c>
      <c r="E126" s="7">
        <v>126.80000000000001</v>
      </c>
      <c r="F126" s="6" t="s">
        <v>10</v>
      </c>
      <c r="G126" s="6" t="s">
        <v>11</v>
      </c>
      <c r="H126" s="12">
        <f t="shared" si="18"/>
        <v>126800000.00000001</v>
      </c>
      <c r="I126" s="21" t="s">
        <v>69</v>
      </c>
      <c r="J126" s="24"/>
      <c r="K126" s="24"/>
      <c r="L126" s="24"/>
      <c r="M126" s="24"/>
      <c r="N126" s="24"/>
      <c r="O126" s="24"/>
      <c r="P126" s="24"/>
      <c r="Q126" s="24"/>
      <c r="R126" s="24"/>
      <c r="S126" s="7">
        <f t="shared" si="19"/>
        <v>3704.5482239999997</v>
      </c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ht="16.5" customHeight="1" thickBot="1">
      <c r="A127" s="4" t="s">
        <v>149</v>
      </c>
      <c r="B127" s="5">
        <v>45444</v>
      </c>
      <c r="C127" s="6" t="s">
        <v>3</v>
      </c>
      <c r="D127" s="6" t="s">
        <v>9</v>
      </c>
      <c r="E127" s="7">
        <v>58.05</v>
      </c>
      <c r="F127" s="6" t="s">
        <v>10</v>
      </c>
      <c r="G127" s="6" t="s">
        <v>11</v>
      </c>
      <c r="H127" s="12">
        <f t="shared" si="18"/>
        <v>58050000</v>
      </c>
      <c r="I127" s="21" t="s">
        <v>69</v>
      </c>
      <c r="J127" s="24"/>
      <c r="K127" s="24"/>
      <c r="L127" s="24"/>
      <c r="M127" s="24"/>
      <c r="N127" s="24"/>
      <c r="O127" s="24"/>
      <c r="P127" s="24"/>
      <c r="Q127" s="24"/>
      <c r="R127" s="24"/>
      <c r="S127" s="7">
        <f t="shared" si="19"/>
        <v>1695.9702239999999</v>
      </c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ht="16.5" customHeight="1" thickBot="1">
      <c r="A128" s="4" t="s">
        <v>150</v>
      </c>
      <c r="B128" s="5">
        <v>45474</v>
      </c>
      <c r="C128" s="6" t="s">
        <v>3</v>
      </c>
      <c r="D128" s="6" t="s">
        <v>9</v>
      </c>
      <c r="E128" s="7">
        <v>80.75</v>
      </c>
      <c r="F128" s="6" t="s">
        <v>10</v>
      </c>
      <c r="G128" s="6" t="s">
        <v>11</v>
      </c>
      <c r="H128" s="12">
        <f t="shared" si="18"/>
        <v>80750000</v>
      </c>
      <c r="I128" s="21" t="s">
        <v>69</v>
      </c>
      <c r="J128" s="24"/>
      <c r="K128" s="24"/>
      <c r="L128" s="24"/>
      <c r="M128" s="24"/>
      <c r="N128" s="24"/>
      <c r="O128" s="24"/>
      <c r="P128" s="24"/>
      <c r="Q128" s="24"/>
      <c r="R128" s="24"/>
      <c r="S128" s="7">
        <f t="shared" si="19"/>
        <v>2359.1661599999998</v>
      </c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ht="16.5" customHeight="1" thickBot="1">
      <c r="A129" s="4" t="s">
        <v>151</v>
      </c>
      <c r="B129" s="5">
        <v>45505</v>
      </c>
      <c r="C129" s="6" t="s">
        <v>3</v>
      </c>
      <c r="D129" s="6" t="s">
        <v>9</v>
      </c>
      <c r="E129" s="7">
        <v>102.95</v>
      </c>
      <c r="F129" s="6" t="s">
        <v>10</v>
      </c>
      <c r="G129" s="6" t="s">
        <v>11</v>
      </c>
      <c r="H129" s="12">
        <f t="shared" si="18"/>
        <v>102950000</v>
      </c>
      <c r="I129" s="21" t="s">
        <v>69</v>
      </c>
      <c r="J129" s="24"/>
      <c r="K129" s="24"/>
      <c r="L129" s="24"/>
      <c r="M129" s="24"/>
      <c r="N129" s="24"/>
      <c r="O129" s="24"/>
      <c r="P129" s="24"/>
      <c r="Q129" s="24"/>
      <c r="R129" s="24"/>
      <c r="S129" s="7">
        <f t="shared" si="19"/>
        <v>3007.7542559999997</v>
      </c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ht="16.5" customHeight="1" thickBot="1">
      <c r="A130" s="4" t="s">
        <v>152</v>
      </c>
      <c r="B130" s="5">
        <v>45536</v>
      </c>
      <c r="C130" s="6" t="s">
        <v>3</v>
      </c>
      <c r="D130" s="6" t="s">
        <v>9</v>
      </c>
      <c r="E130" s="7">
        <v>66.3</v>
      </c>
      <c r="F130" s="6" t="s">
        <v>10</v>
      </c>
      <c r="G130" s="6" t="s">
        <v>11</v>
      </c>
      <c r="H130" s="12">
        <f t="shared" si="18"/>
        <v>66300000</v>
      </c>
      <c r="I130" s="21" t="s">
        <v>69</v>
      </c>
      <c r="J130" s="24"/>
      <c r="K130" s="24"/>
      <c r="L130" s="24"/>
      <c r="M130" s="24"/>
      <c r="N130" s="24"/>
      <c r="O130" s="24"/>
      <c r="P130" s="24"/>
      <c r="Q130" s="24"/>
      <c r="R130" s="24"/>
      <c r="S130" s="7">
        <f t="shared" si="19"/>
        <v>1936.9995839999999</v>
      </c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ht="16.5" customHeight="1" thickBot="1">
      <c r="A131" s="4" t="s">
        <v>153</v>
      </c>
      <c r="B131" s="5">
        <v>45566</v>
      </c>
      <c r="C131" s="6" t="s">
        <v>3</v>
      </c>
      <c r="D131" s="6" t="s">
        <v>9</v>
      </c>
      <c r="E131" s="7">
        <v>93.15</v>
      </c>
      <c r="F131" s="6" t="s">
        <v>10</v>
      </c>
      <c r="G131" s="6" t="s">
        <v>11</v>
      </c>
      <c r="H131" s="12">
        <f t="shared" si="18"/>
        <v>93150000</v>
      </c>
      <c r="I131" s="21" t="s">
        <v>69</v>
      </c>
      <c r="J131" s="24"/>
      <c r="K131" s="24"/>
      <c r="L131" s="24"/>
      <c r="M131" s="24"/>
      <c r="N131" s="24"/>
      <c r="O131" s="24"/>
      <c r="P131" s="24"/>
      <c r="Q131" s="24"/>
      <c r="R131" s="24"/>
      <c r="S131" s="7">
        <f t="shared" si="19"/>
        <v>2721.4405919999999</v>
      </c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ht="16.5" customHeight="1" thickBot="1">
      <c r="A132" s="4" t="s">
        <v>154</v>
      </c>
      <c r="B132" s="5">
        <v>45597</v>
      </c>
      <c r="C132" s="6" t="s">
        <v>3</v>
      </c>
      <c r="D132" s="6" t="s">
        <v>9</v>
      </c>
      <c r="E132" s="7">
        <v>102.39999999999999</v>
      </c>
      <c r="F132" s="6" t="s">
        <v>10</v>
      </c>
      <c r="G132" s="6" t="s">
        <v>11</v>
      </c>
      <c r="H132" s="12">
        <f t="shared" si="18"/>
        <v>102399999.99999999</v>
      </c>
      <c r="I132" s="21" t="s">
        <v>69</v>
      </c>
      <c r="J132" s="24"/>
      <c r="K132" s="24"/>
      <c r="L132" s="24"/>
      <c r="M132" s="24"/>
      <c r="N132" s="24"/>
      <c r="O132" s="24"/>
      <c r="P132" s="24"/>
      <c r="Q132" s="24"/>
      <c r="R132" s="24"/>
      <c r="S132" s="7">
        <f t="shared" si="19"/>
        <v>2991.6856319999988</v>
      </c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ht="16.5" customHeight="1" thickBot="1">
      <c r="A133" s="4" t="s">
        <v>155</v>
      </c>
      <c r="B133" s="5">
        <v>45627</v>
      </c>
      <c r="C133" s="6" t="s">
        <v>3</v>
      </c>
      <c r="D133" s="6" t="s">
        <v>9</v>
      </c>
      <c r="E133" s="7">
        <v>91.35</v>
      </c>
      <c r="F133" s="6" t="s">
        <v>10</v>
      </c>
      <c r="G133" s="6" t="s">
        <v>11</v>
      </c>
      <c r="H133" s="12">
        <f t="shared" si="18"/>
        <v>91350000</v>
      </c>
      <c r="I133" s="21" t="s">
        <v>69</v>
      </c>
      <c r="J133" s="25"/>
      <c r="K133" s="25"/>
      <c r="L133" s="25"/>
      <c r="M133" s="25"/>
      <c r="N133" s="25"/>
      <c r="O133" s="25"/>
      <c r="P133" s="25"/>
      <c r="Q133" s="25"/>
      <c r="R133" s="25"/>
      <c r="S133" s="7">
        <f t="shared" si="19"/>
        <v>2668.8523679999998</v>
      </c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ht="16.5" customHeight="1" thickBot="1">
      <c r="A134" s="4" t="s">
        <v>156</v>
      </c>
      <c r="B134" s="5">
        <v>45292</v>
      </c>
      <c r="C134" s="6" t="s">
        <v>3</v>
      </c>
      <c r="D134" s="6" t="s">
        <v>83</v>
      </c>
      <c r="E134" s="7">
        <v>80993.5</v>
      </c>
      <c r="F134" s="6" t="s">
        <v>1</v>
      </c>
      <c r="G134" s="6" t="s">
        <v>11</v>
      </c>
      <c r="H134" s="14">
        <f t="shared" ref="H134:H145" si="20">E134/1000</f>
        <v>80.993499999999997</v>
      </c>
      <c r="I134" s="22" t="s">
        <v>84</v>
      </c>
      <c r="J134" s="26"/>
      <c r="K134" s="26"/>
      <c r="L134" s="26"/>
      <c r="M134" s="36">
        <v>59510</v>
      </c>
      <c r="N134" s="39">
        <v>1.8320000000000001</v>
      </c>
      <c r="O134" s="40">
        <v>0.44</v>
      </c>
      <c r="P134" s="23">
        <v>1</v>
      </c>
      <c r="Q134" s="23">
        <v>21</v>
      </c>
      <c r="R134" s="23">
        <v>310</v>
      </c>
      <c r="S134" s="7">
        <f t="shared" ref="S134:S145" si="21">((H134*$M$134*$P$134)+(H134*$N$134*$Q$134)+(H134*$O$134*$R$134))*10^-6</f>
        <v>4.8340866803319988</v>
      </c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ht="16.5" customHeight="1" thickBot="1">
      <c r="A135" s="15" t="s">
        <v>157</v>
      </c>
      <c r="B135" s="5">
        <v>45323</v>
      </c>
      <c r="C135" s="6" t="s">
        <v>3</v>
      </c>
      <c r="D135" s="6" t="s">
        <v>83</v>
      </c>
      <c r="E135" s="7">
        <v>72465</v>
      </c>
      <c r="F135" s="6" t="s">
        <v>1</v>
      </c>
      <c r="G135" s="6" t="s">
        <v>11</v>
      </c>
      <c r="H135" s="14">
        <f t="shared" si="20"/>
        <v>72.465000000000003</v>
      </c>
      <c r="I135" s="22" t="s">
        <v>84</v>
      </c>
      <c r="J135" s="24"/>
      <c r="K135" s="24"/>
      <c r="L135" s="24"/>
      <c r="M135" s="37"/>
      <c r="N135" s="37"/>
      <c r="O135" s="24"/>
      <c r="P135" s="24"/>
      <c r="Q135" s="24"/>
      <c r="R135" s="24"/>
      <c r="S135" s="7">
        <f t="shared" si="21"/>
        <v>4.3250642494799996</v>
      </c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ht="16.5" customHeight="1" thickBot="1">
      <c r="A136" s="15" t="s">
        <v>158</v>
      </c>
      <c r="B136" s="5">
        <v>45352</v>
      </c>
      <c r="C136" s="6" t="s">
        <v>3</v>
      </c>
      <c r="D136" s="6" t="s">
        <v>83</v>
      </c>
      <c r="E136" s="7">
        <v>68064</v>
      </c>
      <c r="F136" s="6" t="s">
        <v>1</v>
      </c>
      <c r="G136" s="6" t="s">
        <v>11</v>
      </c>
      <c r="H136" s="14">
        <f t="shared" si="20"/>
        <v>68.063999999999993</v>
      </c>
      <c r="I136" s="22" t="s">
        <v>84</v>
      </c>
      <c r="J136" s="24"/>
      <c r="K136" s="24"/>
      <c r="L136" s="24"/>
      <c r="M136" s="37"/>
      <c r="N136" s="37"/>
      <c r="O136" s="24"/>
      <c r="P136" s="24"/>
      <c r="Q136" s="24"/>
      <c r="R136" s="24"/>
      <c r="S136" s="7">
        <f t="shared" si="21"/>
        <v>4.0623911278079996</v>
      </c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ht="16.5" customHeight="1" thickBot="1">
      <c r="A137" s="15" t="s">
        <v>159</v>
      </c>
      <c r="B137" s="5">
        <v>45383</v>
      </c>
      <c r="C137" s="6" t="s">
        <v>3</v>
      </c>
      <c r="D137" s="6" t="s">
        <v>83</v>
      </c>
      <c r="E137" s="7">
        <v>68998</v>
      </c>
      <c r="F137" s="6" t="s">
        <v>1</v>
      </c>
      <c r="G137" s="6" t="s">
        <v>11</v>
      </c>
      <c r="H137" s="14">
        <f t="shared" si="20"/>
        <v>68.998000000000005</v>
      </c>
      <c r="I137" s="22" t="s">
        <v>84</v>
      </c>
      <c r="J137" s="24"/>
      <c r="K137" s="24"/>
      <c r="L137" s="24"/>
      <c r="M137" s="37"/>
      <c r="N137" s="37"/>
      <c r="O137" s="24"/>
      <c r="P137" s="24"/>
      <c r="Q137" s="24"/>
      <c r="R137" s="24"/>
      <c r="S137" s="7">
        <f t="shared" si="21"/>
        <v>4.1181367982560007</v>
      </c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ht="16.5" customHeight="1" thickBot="1">
      <c r="A138" s="15" t="s">
        <v>160</v>
      </c>
      <c r="B138" s="5">
        <v>45413</v>
      </c>
      <c r="C138" s="6" t="s">
        <v>3</v>
      </c>
      <c r="D138" s="6" t="s">
        <v>83</v>
      </c>
      <c r="E138" s="7">
        <v>79811.5</v>
      </c>
      <c r="F138" s="6" t="s">
        <v>1</v>
      </c>
      <c r="G138" s="6" t="s">
        <v>11</v>
      </c>
      <c r="H138" s="14">
        <f t="shared" si="20"/>
        <v>79.811499999999995</v>
      </c>
      <c r="I138" s="22" t="s">
        <v>84</v>
      </c>
      <c r="J138" s="24"/>
      <c r="K138" s="24"/>
      <c r="L138" s="24"/>
      <c r="M138" s="37"/>
      <c r="N138" s="37"/>
      <c r="O138" s="24"/>
      <c r="P138" s="24"/>
      <c r="Q138" s="24"/>
      <c r="R138" s="24"/>
      <c r="S138" s="7">
        <f t="shared" si="21"/>
        <v>4.7635391616279987</v>
      </c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ht="16.5" customHeight="1" thickBot="1">
      <c r="A139" s="15" t="s">
        <v>161</v>
      </c>
      <c r="B139" s="5">
        <v>45444</v>
      </c>
      <c r="C139" s="6" t="s">
        <v>3</v>
      </c>
      <c r="D139" s="6" t="s">
        <v>83</v>
      </c>
      <c r="E139" s="7">
        <v>78424</v>
      </c>
      <c r="F139" s="6" t="s">
        <v>1</v>
      </c>
      <c r="G139" s="6" t="s">
        <v>11</v>
      </c>
      <c r="H139" s="14">
        <f t="shared" si="20"/>
        <v>78.424000000000007</v>
      </c>
      <c r="I139" s="22" t="s">
        <v>84</v>
      </c>
      <c r="J139" s="24"/>
      <c r="K139" s="24"/>
      <c r="L139" s="24"/>
      <c r="M139" s="37"/>
      <c r="N139" s="37"/>
      <c r="O139" s="24"/>
      <c r="P139" s="24"/>
      <c r="Q139" s="24"/>
      <c r="R139" s="24"/>
      <c r="S139" s="7">
        <f t="shared" si="21"/>
        <v>4.6807264017279993</v>
      </c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ht="16.5" customHeight="1" thickBot="1">
      <c r="A140" s="15" t="s">
        <v>162</v>
      </c>
      <c r="B140" s="5">
        <v>45474</v>
      </c>
      <c r="C140" s="6" t="s">
        <v>3</v>
      </c>
      <c r="D140" s="6" t="s">
        <v>83</v>
      </c>
      <c r="E140" s="7">
        <v>80902.5</v>
      </c>
      <c r="F140" s="6" t="s">
        <v>1</v>
      </c>
      <c r="G140" s="6" t="s">
        <v>11</v>
      </c>
      <c r="H140" s="14">
        <f t="shared" si="20"/>
        <v>80.902500000000003</v>
      </c>
      <c r="I140" s="22" t="s">
        <v>84</v>
      </c>
      <c r="J140" s="24"/>
      <c r="K140" s="24"/>
      <c r="L140" s="24"/>
      <c r="M140" s="37"/>
      <c r="N140" s="37"/>
      <c r="O140" s="24"/>
      <c r="P140" s="24"/>
      <c r="Q140" s="24"/>
      <c r="R140" s="24"/>
      <c r="S140" s="7">
        <f t="shared" si="21"/>
        <v>4.8286553569800006</v>
      </c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ht="16.5" customHeight="1" thickBot="1">
      <c r="A141" s="15" t="s">
        <v>163</v>
      </c>
      <c r="B141" s="5">
        <v>45505</v>
      </c>
      <c r="C141" s="6" t="s">
        <v>3</v>
      </c>
      <c r="D141" s="6" t="s">
        <v>83</v>
      </c>
      <c r="E141" s="7">
        <v>79508</v>
      </c>
      <c r="F141" s="6" t="s">
        <v>1</v>
      </c>
      <c r="G141" s="6" t="s">
        <v>11</v>
      </c>
      <c r="H141" s="14">
        <f t="shared" si="20"/>
        <v>79.507999999999996</v>
      </c>
      <c r="I141" s="22" t="s">
        <v>84</v>
      </c>
      <c r="J141" s="24"/>
      <c r="K141" s="24"/>
      <c r="L141" s="24"/>
      <c r="M141" s="37"/>
      <c r="N141" s="37"/>
      <c r="O141" s="24"/>
      <c r="P141" s="24"/>
      <c r="Q141" s="24"/>
      <c r="R141" s="24"/>
      <c r="S141" s="7">
        <f t="shared" si="21"/>
        <v>4.7454248029760002</v>
      </c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ht="16.5" customHeight="1" thickBot="1">
      <c r="A142" s="15" t="s">
        <v>164</v>
      </c>
      <c r="B142" s="5">
        <v>45536</v>
      </c>
      <c r="C142" s="6" t="s">
        <v>3</v>
      </c>
      <c r="D142" s="6" t="s">
        <v>83</v>
      </c>
      <c r="E142" s="7">
        <v>77272.5</v>
      </c>
      <c r="F142" s="6" t="s">
        <v>1</v>
      </c>
      <c r="G142" s="6" t="s">
        <v>11</v>
      </c>
      <c r="H142" s="14">
        <f t="shared" si="20"/>
        <v>77.272499999999994</v>
      </c>
      <c r="I142" s="22" t="s">
        <v>84</v>
      </c>
      <c r="J142" s="24"/>
      <c r="K142" s="24"/>
      <c r="L142" s="24"/>
      <c r="M142" s="37"/>
      <c r="N142" s="37"/>
      <c r="O142" s="24"/>
      <c r="P142" s="24"/>
      <c r="Q142" s="24"/>
      <c r="R142" s="24"/>
      <c r="S142" s="7">
        <f t="shared" si="21"/>
        <v>4.6119992716199985</v>
      </c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ht="16.5" customHeight="1" thickBot="1">
      <c r="A143" s="15" t="s">
        <v>165</v>
      </c>
      <c r="B143" s="5">
        <v>45566</v>
      </c>
      <c r="C143" s="6" t="s">
        <v>3</v>
      </c>
      <c r="D143" s="6" t="s">
        <v>83</v>
      </c>
      <c r="E143" s="7">
        <v>83415</v>
      </c>
      <c r="F143" s="6" t="s">
        <v>1</v>
      </c>
      <c r="G143" s="6" t="s">
        <v>11</v>
      </c>
      <c r="H143" s="14">
        <f t="shared" si="20"/>
        <v>83.415000000000006</v>
      </c>
      <c r="I143" s="22" t="s">
        <v>84</v>
      </c>
      <c r="J143" s="24"/>
      <c r="K143" s="24"/>
      <c r="L143" s="24"/>
      <c r="M143" s="37"/>
      <c r="N143" s="37"/>
      <c r="O143" s="24"/>
      <c r="P143" s="24"/>
      <c r="Q143" s="24"/>
      <c r="R143" s="24"/>
      <c r="S143" s="7">
        <f t="shared" si="21"/>
        <v>4.9786135978799999</v>
      </c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ht="16.5" customHeight="1" thickBot="1">
      <c r="A144" s="15" t="s">
        <v>166</v>
      </c>
      <c r="B144" s="5">
        <v>45597</v>
      </c>
      <c r="C144" s="6" t="s">
        <v>3</v>
      </c>
      <c r="D144" s="6" t="s">
        <v>83</v>
      </c>
      <c r="E144" s="7">
        <v>74784</v>
      </c>
      <c r="F144" s="6" t="s">
        <v>1</v>
      </c>
      <c r="G144" s="6" t="s">
        <v>11</v>
      </c>
      <c r="H144" s="14">
        <f t="shared" si="20"/>
        <v>74.784000000000006</v>
      </c>
      <c r="I144" s="22" t="s">
        <v>84</v>
      </c>
      <c r="J144" s="24"/>
      <c r="K144" s="24"/>
      <c r="L144" s="24"/>
      <c r="M144" s="37"/>
      <c r="N144" s="37"/>
      <c r="O144" s="24"/>
      <c r="P144" s="24"/>
      <c r="Q144" s="24"/>
      <c r="R144" s="24"/>
      <c r="S144" s="7">
        <f t="shared" si="21"/>
        <v>4.4634734676480008</v>
      </c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ht="16.5" customHeight="1" thickBot="1">
      <c r="A145" s="15" t="s">
        <v>167</v>
      </c>
      <c r="B145" s="16">
        <v>45627</v>
      </c>
      <c r="C145" s="10" t="s">
        <v>3</v>
      </c>
      <c r="D145" s="10" t="s">
        <v>83</v>
      </c>
      <c r="E145" s="7">
        <v>76846.5</v>
      </c>
      <c r="F145" s="10" t="s">
        <v>1</v>
      </c>
      <c r="G145" s="10" t="s">
        <v>11</v>
      </c>
      <c r="H145" s="14">
        <f t="shared" si="20"/>
        <v>76.846500000000006</v>
      </c>
      <c r="I145" s="22" t="s">
        <v>84</v>
      </c>
      <c r="J145" s="25"/>
      <c r="K145" s="25"/>
      <c r="L145" s="25"/>
      <c r="M145" s="38"/>
      <c r="N145" s="38"/>
      <c r="O145" s="25"/>
      <c r="P145" s="25"/>
      <c r="Q145" s="25"/>
      <c r="R145" s="25"/>
      <c r="S145" s="7">
        <f t="shared" si="21"/>
        <v>4.5865735161479995</v>
      </c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ht="16.5" customHeight="1" thickBot="1">
      <c r="A146" s="4" t="s">
        <v>168</v>
      </c>
      <c r="B146" s="5">
        <v>45292</v>
      </c>
      <c r="C146" s="6" t="s">
        <v>4</v>
      </c>
      <c r="D146" s="6" t="s">
        <v>331</v>
      </c>
      <c r="E146" s="7">
        <v>226190.5</v>
      </c>
      <c r="F146" s="6" t="s">
        <v>1</v>
      </c>
      <c r="G146" s="6" t="s">
        <v>2</v>
      </c>
      <c r="H146" s="9">
        <f t="shared" ref="H146:H157" si="22">E146/$J$146</f>
        <v>5248.0394431554523</v>
      </c>
      <c r="I146" s="17" t="s">
        <v>14</v>
      </c>
      <c r="J146" s="41">
        <v>43.1</v>
      </c>
      <c r="K146" s="26">
        <v>38.9</v>
      </c>
      <c r="L146" s="26" t="s">
        <v>15</v>
      </c>
      <c r="M146" s="35">
        <v>56100</v>
      </c>
      <c r="N146" s="26">
        <v>1</v>
      </c>
      <c r="O146" s="26">
        <v>0.1</v>
      </c>
      <c r="P146" s="23">
        <v>1</v>
      </c>
      <c r="Q146" s="23">
        <v>21</v>
      </c>
      <c r="R146" s="23">
        <v>310</v>
      </c>
      <c r="S146" s="7">
        <f t="shared" ref="S146:S157" si="23">((H146*$K$146*$M$146*$P$146)+(H146*$K$146*$N$146*$Q$146)+(H146*$K$146*$O$146*$R$146))*10^-6</f>
        <v>11463.359730589327</v>
      </c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ht="16.5" customHeight="1" thickBot="1">
      <c r="A147" s="4" t="s">
        <v>169</v>
      </c>
      <c r="B147" s="5">
        <v>45323</v>
      </c>
      <c r="C147" s="6" t="s">
        <v>4</v>
      </c>
      <c r="D147" s="6" t="s">
        <v>331</v>
      </c>
      <c r="E147" s="7">
        <v>199207.5</v>
      </c>
      <c r="F147" s="6" t="s">
        <v>1</v>
      </c>
      <c r="G147" s="6" t="s">
        <v>2</v>
      </c>
      <c r="H147" s="9">
        <f t="shared" si="22"/>
        <v>4621.9837587006959</v>
      </c>
      <c r="I147" s="17" t="s">
        <v>14</v>
      </c>
      <c r="J147" s="37"/>
      <c r="K147" s="24"/>
      <c r="L147" s="24"/>
      <c r="M147" s="24"/>
      <c r="N147" s="24"/>
      <c r="O147" s="24"/>
      <c r="P147" s="24"/>
      <c r="Q147" s="24"/>
      <c r="R147" s="24"/>
      <c r="S147" s="7">
        <f t="shared" si="23"/>
        <v>10095.858285522041</v>
      </c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ht="16.5" customHeight="1" thickBot="1">
      <c r="A148" s="4" t="s">
        <v>170</v>
      </c>
      <c r="B148" s="5">
        <v>45352</v>
      </c>
      <c r="C148" s="6" t="s">
        <v>4</v>
      </c>
      <c r="D148" s="6" t="s">
        <v>331</v>
      </c>
      <c r="E148" s="7">
        <v>206198.5</v>
      </c>
      <c r="F148" s="6" t="s">
        <v>1</v>
      </c>
      <c r="G148" s="6" t="s">
        <v>2</v>
      </c>
      <c r="H148" s="9">
        <f t="shared" si="22"/>
        <v>4784.1879350348026</v>
      </c>
      <c r="I148" s="17" t="s">
        <v>14</v>
      </c>
      <c r="J148" s="37"/>
      <c r="K148" s="24"/>
      <c r="L148" s="24"/>
      <c r="M148" s="24"/>
      <c r="N148" s="24"/>
      <c r="O148" s="24"/>
      <c r="P148" s="24"/>
      <c r="Q148" s="24"/>
      <c r="R148" s="24"/>
      <c r="S148" s="7">
        <f t="shared" si="23"/>
        <v>10450.162944102087</v>
      </c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ht="16.5" customHeight="1" thickBot="1">
      <c r="A149" s="4" t="s">
        <v>171</v>
      </c>
      <c r="B149" s="5">
        <v>45383</v>
      </c>
      <c r="C149" s="6" t="s">
        <v>4</v>
      </c>
      <c r="D149" s="6" t="s">
        <v>331</v>
      </c>
      <c r="E149" s="7">
        <v>232607</v>
      </c>
      <c r="F149" s="6" t="s">
        <v>1</v>
      </c>
      <c r="G149" s="6" t="s">
        <v>2</v>
      </c>
      <c r="H149" s="9">
        <f t="shared" si="22"/>
        <v>5396.9141531322502</v>
      </c>
      <c r="I149" s="17" t="s">
        <v>14</v>
      </c>
      <c r="J149" s="37"/>
      <c r="K149" s="24"/>
      <c r="L149" s="24"/>
      <c r="M149" s="24"/>
      <c r="N149" s="24"/>
      <c r="O149" s="24"/>
      <c r="P149" s="24"/>
      <c r="Q149" s="24"/>
      <c r="R149" s="24"/>
      <c r="S149" s="7">
        <f t="shared" si="23"/>
        <v>11788.548665187935</v>
      </c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ht="16.5" customHeight="1" thickBot="1">
      <c r="A150" s="4" t="s">
        <v>172</v>
      </c>
      <c r="B150" s="5">
        <v>45413</v>
      </c>
      <c r="C150" s="6" t="s">
        <v>4</v>
      </c>
      <c r="D150" s="6" t="s">
        <v>331</v>
      </c>
      <c r="E150" s="7">
        <v>193746</v>
      </c>
      <c r="F150" s="6" t="s">
        <v>1</v>
      </c>
      <c r="G150" s="6" t="s">
        <v>2</v>
      </c>
      <c r="H150" s="9">
        <f t="shared" si="22"/>
        <v>4495.2668213457073</v>
      </c>
      <c r="I150" s="17" t="s">
        <v>14</v>
      </c>
      <c r="J150" s="37"/>
      <c r="K150" s="24"/>
      <c r="L150" s="24"/>
      <c r="M150" s="24"/>
      <c r="N150" s="24"/>
      <c r="O150" s="24"/>
      <c r="P150" s="24"/>
      <c r="Q150" s="24"/>
      <c r="R150" s="24"/>
      <c r="S150" s="7">
        <f t="shared" si="23"/>
        <v>9819.068857280743</v>
      </c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ht="16.5" customHeight="1" thickBot="1">
      <c r="A151" s="4" t="s">
        <v>173</v>
      </c>
      <c r="B151" s="5">
        <v>45444</v>
      </c>
      <c r="C151" s="6" t="s">
        <v>4</v>
      </c>
      <c r="D151" s="6" t="s">
        <v>331</v>
      </c>
      <c r="E151" s="7">
        <v>220602.5</v>
      </c>
      <c r="F151" s="6" t="s">
        <v>1</v>
      </c>
      <c r="G151" s="6" t="s">
        <v>2</v>
      </c>
      <c r="H151" s="9">
        <f t="shared" si="22"/>
        <v>5118.3874709976799</v>
      </c>
      <c r="I151" s="17" t="s">
        <v>14</v>
      </c>
      <c r="J151" s="37"/>
      <c r="K151" s="24"/>
      <c r="L151" s="24"/>
      <c r="M151" s="24"/>
      <c r="N151" s="24"/>
      <c r="O151" s="24"/>
      <c r="P151" s="24"/>
      <c r="Q151" s="24"/>
      <c r="R151" s="24"/>
      <c r="S151" s="7">
        <f t="shared" si="23"/>
        <v>11180.15926825986</v>
      </c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ht="16.5" customHeight="1" thickBot="1">
      <c r="A152" s="4" t="s">
        <v>174</v>
      </c>
      <c r="B152" s="5">
        <v>45474</v>
      </c>
      <c r="C152" s="6" t="s">
        <v>4</v>
      </c>
      <c r="D152" s="6" t="s">
        <v>331</v>
      </c>
      <c r="E152" s="7">
        <v>199719</v>
      </c>
      <c r="F152" s="6" t="s">
        <v>1</v>
      </c>
      <c r="G152" s="6" t="s">
        <v>2</v>
      </c>
      <c r="H152" s="9">
        <f t="shared" si="22"/>
        <v>4633.8515081206497</v>
      </c>
      <c r="I152" s="17" t="s">
        <v>14</v>
      </c>
      <c r="J152" s="37"/>
      <c r="K152" s="24"/>
      <c r="L152" s="24"/>
      <c r="M152" s="24"/>
      <c r="N152" s="24"/>
      <c r="O152" s="24"/>
      <c r="P152" s="24"/>
      <c r="Q152" s="24"/>
      <c r="R152" s="24"/>
      <c r="S152" s="7">
        <f t="shared" si="23"/>
        <v>10121.781162487237</v>
      </c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ht="16.5" customHeight="1" thickBot="1">
      <c r="A153" s="4" t="s">
        <v>175</v>
      </c>
      <c r="B153" s="5">
        <v>45505</v>
      </c>
      <c r="C153" s="6" t="s">
        <v>4</v>
      </c>
      <c r="D153" s="6" t="s">
        <v>331</v>
      </c>
      <c r="E153" s="7">
        <v>216092.5</v>
      </c>
      <c r="F153" s="6" t="s">
        <v>1</v>
      </c>
      <c r="G153" s="6" t="s">
        <v>2</v>
      </c>
      <c r="H153" s="9">
        <f t="shared" si="22"/>
        <v>5013.7470997679811</v>
      </c>
      <c r="I153" s="17" t="s">
        <v>14</v>
      </c>
      <c r="J153" s="37"/>
      <c r="K153" s="24"/>
      <c r="L153" s="24"/>
      <c r="M153" s="24"/>
      <c r="N153" s="24"/>
      <c r="O153" s="24"/>
      <c r="P153" s="24"/>
      <c r="Q153" s="24"/>
      <c r="R153" s="24"/>
      <c r="S153" s="7">
        <f t="shared" si="23"/>
        <v>10951.591965986077</v>
      </c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ht="16.5" customHeight="1" thickBot="1">
      <c r="A154" s="4" t="s">
        <v>176</v>
      </c>
      <c r="B154" s="5">
        <v>45536</v>
      </c>
      <c r="C154" s="6" t="s">
        <v>4</v>
      </c>
      <c r="D154" s="6" t="s">
        <v>331</v>
      </c>
      <c r="E154" s="7">
        <v>187145.5</v>
      </c>
      <c r="F154" s="6" t="s">
        <v>1</v>
      </c>
      <c r="G154" s="6" t="s">
        <v>2</v>
      </c>
      <c r="H154" s="9">
        <f t="shared" si="22"/>
        <v>4342.1229698375864</v>
      </c>
      <c r="I154" s="17" t="s">
        <v>14</v>
      </c>
      <c r="J154" s="37"/>
      <c r="K154" s="24"/>
      <c r="L154" s="24"/>
      <c r="M154" s="24"/>
      <c r="N154" s="24"/>
      <c r="O154" s="24"/>
      <c r="P154" s="24"/>
      <c r="Q154" s="24"/>
      <c r="R154" s="24"/>
      <c r="S154" s="7">
        <f t="shared" si="23"/>
        <v>9484.5547821902546</v>
      </c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ht="16.5" customHeight="1" thickBot="1">
      <c r="A155" s="4" t="s">
        <v>177</v>
      </c>
      <c r="B155" s="5">
        <v>45566</v>
      </c>
      <c r="C155" s="6" t="s">
        <v>4</v>
      </c>
      <c r="D155" s="6" t="s">
        <v>331</v>
      </c>
      <c r="E155" s="7">
        <v>229052</v>
      </c>
      <c r="F155" s="6" t="s">
        <v>1</v>
      </c>
      <c r="G155" s="6" t="s">
        <v>2</v>
      </c>
      <c r="H155" s="9">
        <f t="shared" si="22"/>
        <v>5314.4315545243617</v>
      </c>
      <c r="I155" s="17" t="s">
        <v>14</v>
      </c>
      <c r="J155" s="37"/>
      <c r="K155" s="24"/>
      <c r="L155" s="24"/>
      <c r="M155" s="24"/>
      <c r="N155" s="24"/>
      <c r="O155" s="24"/>
      <c r="P155" s="24"/>
      <c r="Q155" s="24"/>
      <c r="R155" s="24"/>
      <c r="S155" s="7">
        <f t="shared" si="23"/>
        <v>11608.380869271459</v>
      </c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ht="16.5" customHeight="1" thickBot="1">
      <c r="A156" s="4" t="s">
        <v>178</v>
      </c>
      <c r="B156" s="5">
        <v>45597</v>
      </c>
      <c r="C156" s="6" t="s">
        <v>4</v>
      </c>
      <c r="D156" s="6" t="s">
        <v>331</v>
      </c>
      <c r="E156" s="7">
        <v>200619.5</v>
      </c>
      <c r="F156" s="6" t="s">
        <v>1</v>
      </c>
      <c r="G156" s="6" t="s">
        <v>2</v>
      </c>
      <c r="H156" s="9">
        <f t="shared" si="22"/>
        <v>4654.7447795823664</v>
      </c>
      <c r="I156" s="17" t="s">
        <v>14</v>
      </c>
      <c r="J156" s="37"/>
      <c r="K156" s="24"/>
      <c r="L156" s="24"/>
      <c r="M156" s="24"/>
      <c r="N156" s="24"/>
      <c r="O156" s="24"/>
      <c r="P156" s="24"/>
      <c r="Q156" s="24"/>
      <c r="R156" s="24"/>
      <c r="S156" s="7">
        <f t="shared" si="23"/>
        <v>10167.41860277494</v>
      </c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ht="16.5" customHeight="1" thickBot="1">
      <c r="A157" s="4" t="s">
        <v>179</v>
      </c>
      <c r="B157" s="5">
        <v>45627</v>
      </c>
      <c r="C157" s="6" t="s">
        <v>4</v>
      </c>
      <c r="D157" s="6" t="s">
        <v>331</v>
      </c>
      <c r="E157" s="7">
        <v>231976</v>
      </c>
      <c r="F157" s="6" t="s">
        <v>1</v>
      </c>
      <c r="G157" s="6" t="s">
        <v>2</v>
      </c>
      <c r="H157" s="9">
        <f t="shared" si="22"/>
        <v>5382.2737819025524</v>
      </c>
      <c r="I157" s="17" t="s">
        <v>14</v>
      </c>
      <c r="J157" s="38"/>
      <c r="K157" s="25"/>
      <c r="L157" s="25"/>
      <c r="M157" s="25"/>
      <c r="N157" s="25"/>
      <c r="O157" s="25"/>
      <c r="P157" s="25"/>
      <c r="Q157" s="25"/>
      <c r="R157" s="25"/>
      <c r="S157" s="7">
        <f t="shared" si="23"/>
        <v>11756.569514914152</v>
      </c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ht="16.5" customHeight="1" thickBot="1">
      <c r="A158" s="4" t="s">
        <v>180</v>
      </c>
      <c r="B158" s="5">
        <v>45292</v>
      </c>
      <c r="C158" s="6" t="s">
        <v>4</v>
      </c>
      <c r="D158" s="6" t="s">
        <v>6</v>
      </c>
      <c r="E158" s="7">
        <v>77</v>
      </c>
      <c r="F158" s="6" t="s">
        <v>1</v>
      </c>
      <c r="G158" s="6" t="s">
        <v>2</v>
      </c>
      <c r="H158" s="11">
        <f t="shared" ref="H158:H169" si="24">E158/$J$158</f>
        <v>2.3547400611620795</v>
      </c>
      <c r="I158" s="20" t="s">
        <v>28</v>
      </c>
      <c r="J158" s="26">
        <v>32.700000000000003</v>
      </c>
      <c r="K158" s="26">
        <v>30.4</v>
      </c>
      <c r="L158" s="26" t="s">
        <v>29</v>
      </c>
      <c r="M158" s="35">
        <v>69300</v>
      </c>
      <c r="N158" s="35">
        <v>25</v>
      </c>
      <c r="O158" s="35">
        <v>8</v>
      </c>
      <c r="P158" s="23">
        <v>1</v>
      </c>
      <c r="Q158" s="23">
        <v>21</v>
      </c>
      <c r="R158" s="23">
        <v>310</v>
      </c>
      <c r="S158" s="7">
        <f t="shared" ref="S158:S169" si="25">((H158*$K$158*$M$158*$P$158)+(H158*$K$158*$N$158*$Q$158)+(H158*$K$158*$O$158*$R$158))*10^-6</f>
        <v>5.1758881957186542</v>
      </c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ht="16.5" customHeight="1" thickBot="1">
      <c r="A159" s="4" t="s">
        <v>181</v>
      </c>
      <c r="B159" s="5">
        <v>45323</v>
      </c>
      <c r="C159" s="6" t="s">
        <v>4</v>
      </c>
      <c r="D159" s="6" t="s">
        <v>6</v>
      </c>
      <c r="E159" s="7">
        <v>66</v>
      </c>
      <c r="F159" s="6" t="s">
        <v>1</v>
      </c>
      <c r="G159" s="6" t="s">
        <v>2</v>
      </c>
      <c r="H159" s="11">
        <f t="shared" si="24"/>
        <v>2.0183486238532109</v>
      </c>
      <c r="I159" s="20" t="s">
        <v>28</v>
      </c>
      <c r="J159" s="24"/>
      <c r="K159" s="24"/>
      <c r="L159" s="24"/>
      <c r="M159" s="24"/>
      <c r="N159" s="24"/>
      <c r="O159" s="24"/>
      <c r="P159" s="24"/>
      <c r="Q159" s="24"/>
      <c r="R159" s="24"/>
      <c r="S159" s="7">
        <f t="shared" si="25"/>
        <v>4.4364755963302756</v>
      </c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ht="16.5" customHeight="1" thickBot="1">
      <c r="A160" s="4" t="s">
        <v>182</v>
      </c>
      <c r="B160" s="5">
        <v>45352</v>
      </c>
      <c r="C160" s="6" t="s">
        <v>4</v>
      </c>
      <c r="D160" s="6" t="s">
        <v>6</v>
      </c>
      <c r="E160" s="7">
        <v>70.5</v>
      </c>
      <c r="F160" s="6" t="s">
        <v>1</v>
      </c>
      <c r="G160" s="6" t="s">
        <v>2</v>
      </c>
      <c r="H160" s="11">
        <f t="shared" si="24"/>
        <v>2.1559633027522933</v>
      </c>
      <c r="I160" s="20" t="s">
        <v>28</v>
      </c>
      <c r="J160" s="24"/>
      <c r="K160" s="24"/>
      <c r="L160" s="24"/>
      <c r="M160" s="24"/>
      <c r="N160" s="24"/>
      <c r="O160" s="24"/>
      <c r="P160" s="24"/>
      <c r="Q160" s="24"/>
      <c r="R160" s="24"/>
      <c r="S160" s="7">
        <f t="shared" si="25"/>
        <v>4.738962568807338</v>
      </c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ht="16.5" customHeight="1" thickBot="1">
      <c r="A161" s="4" t="s">
        <v>183</v>
      </c>
      <c r="B161" s="5">
        <v>45383</v>
      </c>
      <c r="C161" s="6" t="s">
        <v>4</v>
      </c>
      <c r="D161" s="6" t="s">
        <v>6</v>
      </c>
      <c r="E161" s="7">
        <v>79.5</v>
      </c>
      <c r="F161" s="6" t="s">
        <v>1</v>
      </c>
      <c r="G161" s="6" t="s">
        <v>2</v>
      </c>
      <c r="H161" s="11">
        <f t="shared" si="24"/>
        <v>2.4311926605504586</v>
      </c>
      <c r="I161" s="20" t="s">
        <v>28</v>
      </c>
      <c r="J161" s="24"/>
      <c r="K161" s="24"/>
      <c r="L161" s="24"/>
      <c r="M161" s="24"/>
      <c r="N161" s="24"/>
      <c r="O161" s="24"/>
      <c r="P161" s="24"/>
      <c r="Q161" s="24"/>
      <c r="R161" s="24"/>
      <c r="S161" s="7">
        <f t="shared" si="25"/>
        <v>5.3439365137614674</v>
      </c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ht="16.5" customHeight="1" thickBot="1">
      <c r="A162" s="4" t="s">
        <v>184</v>
      </c>
      <c r="B162" s="5">
        <v>45413</v>
      </c>
      <c r="C162" s="6" t="s">
        <v>4</v>
      </c>
      <c r="D162" s="6" t="s">
        <v>6</v>
      </c>
      <c r="E162" s="7">
        <v>60.5</v>
      </c>
      <c r="F162" s="6" t="s">
        <v>1</v>
      </c>
      <c r="G162" s="6" t="s">
        <v>2</v>
      </c>
      <c r="H162" s="11">
        <f t="shared" si="24"/>
        <v>1.8501529051987766</v>
      </c>
      <c r="I162" s="20" t="s">
        <v>28</v>
      </c>
      <c r="J162" s="24"/>
      <c r="K162" s="24"/>
      <c r="L162" s="24"/>
      <c r="M162" s="24"/>
      <c r="N162" s="24"/>
      <c r="O162" s="24"/>
      <c r="P162" s="24"/>
      <c r="Q162" s="24"/>
      <c r="R162" s="24"/>
      <c r="S162" s="7">
        <f t="shared" si="25"/>
        <v>4.0667692966360853</v>
      </c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ht="16.5" customHeight="1" thickBot="1">
      <c r="A163" s="4" t="s">
        <v>185</v>
      </c>
      <c r="B163" s="5">
        <v>45444</v>
      </c>
      <c r="C163" s="6" t="s">
        <v>4</v>
      </c>
      <c r="D163" s="6" t="s">
        <v>6</v>
      </c>
      <c r="E163" s="7">
        <v>82</v>
      </c>
      <c r="F163" s="6" t="s">
        <v>1</v>
      </c>
      <c r="G163" s="6" t="s">
        <v>2</v>
      </c>
      <c r="H163" s="11">
        <f t="shared" si="24"/>
        <v>2.5076452599388377</v>
      </c>
      <c r="I163" s="20" t="s">
        <v>28</v>
      </c>
      <c r="J163" s="24"/>
      <c r="K163" s="24"/>
      <c r="L163" s="24"/>
      <c r="M163" s="24"/>
      <c r="N163" s="24"/>
      <c r="O163" s="24"/>
      <c r="P163" s="24"/>
      <c r="Q163" s="24"/>
      <c r="R163" s="24"/>
      <c r="S163" s="7">
        <f t="shared" si="25"/>
        <v>5.5119848318042797</v>
      </c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ht="16.5" customHeight="1" thickBot="1">
      <c r="A164" s="4" t="s">
        <v>186</v>
      </c>
      <c r="B164" s="5">
        <v>45474</v>
      </c>
      <c r="C164" s="6" t="s">
        <v>4</v>
      </c>
      <c r="D164" s="6" t="s">
        <v>6</v>
      </c>
      <c r="E164" s="7">
        <v>69.5</v>
      </c>
      <c r="F164" s="6" t="s">
        <v>1</v>
      </c>
      <c r="G164" s="6" t="s">
        <v>2</v>
      </c>
      <c r="H164" s="11">
        <f t="shared" si="24"/>
        <v>2.1253822629969417</v>
      </c>
      <c r="I164" s="20" t="s">
        <v>28</v>
      </c>
      <c r="J164" s="24"/>
      <c r="K164" s="24"/>
      <c r="L164" s="24"/>
      <c r="M164" s="24"/>
      <c r="N164" s="24"/>
      <c r="O164" s="24"/>
      <c r="P164" s="24"/>
      <c r="Q164" s="24"/>
      <c r="R164" s="24"/>
      <c r="S164" s="7">
        <f t="shared" si="25"/>
        <v>4.6717432415902138</v>
      </c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ht="16.5" customHeight="1" thickBot="1">
      <c r="A165" s="4" t="s">
        <v>187</v>
      </c>
      <c r="B165" s="5">
        <v>45505</v>
      </c>
      <c r="C165" s="6" t="s">
        <v>4</v>
      </c>
      <c r="D165" s="6" t="s">
        <v>6</v>
      </c>
      <c r="E165" s="7">
        <v>75.5</v>
      </c>
      <c r="F165" s="6" t="s">
        <v>1</v>
      </c>
      <c r="G165" s="6" t="s">
        <v>2</v>
      </c>
      <c r="H165" s="11">
        <f t="shared" si="24"/>
        <v>2.308868501529052</v>
      </c>
      <c r="I165" s="20" t="s">
        <v>28</v>
      </c>
      <c r="J165" s="24"/>
      <c r="K165" s="24"/>
      <c r="L165" s="24"/>
      <c r="M165" s="24"/>
      <c r="N165" s="24"/>
      <c r="O165" s="24"/>
      <c r="P165" s="24"/>
      <c r="Q165" s="24"/>
      <c r="R165" s="24"/>
      <c r="S165" s="7">
        <f t="shared" si="25"/>
        <v>5.075059204892967</v>
      </c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ht="16.5" customHeight="1" thickBot="1">
      <c r="A166" s="4" t="s">
        <v>188</v>
      </c>
      <c r="B166" s="5">
        <v>45536</v>
      </c>
      <c r="C166" s="6" t="s">
        <v>4</v>
      </c>
      <c r="D166" s="6" t="s">
        <v>6</v>
      </c>
      <c r="E166" s="7">
        <v>59</v>
      </c>
      <c r="F166" s="6" t="s">
        <v>1</v>
      </c>
      <c r="G166" s="6" t="s">
        <v>2</v>
      </c>
      <c r="H166" s="11">
        <f t="shared" si="24"/>
        <v>1.8042813455657492</v>
      </c>
      <c r="I166" s="20" t="s">
        <v>28</v>
      </c>
      <c r="J166" s="24"/>
      <c r="K166" s="24"/>
      <c r="L166" s="24"/>
      <c r="M166" s="24"/>
      <c r="N166" s="24"/>
      <c r="O166" s="24"/>
      <c r="P166" s="24"/>
      <c r="Q166" s="24"/>
      <c r="R166" s="24"/>
      <c r="S166" s="7">
        <f t="shared" si="25"/>
        <v>3.9659403058103968</v>
      </c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ht="16.5" customHeight="1" thickBot="1">
      <c r="A167" s="4" t="s">
        <v>189</v>
      </c>
      <c r="B167" s="5">
        <v>45566</v>
      </c>
      <c r="C167" s="6" t="s">
        <v>4</v>
      </c>
      <c r="D167" s="6" t="s">
        <v>6</v>
      </c>
      <c r="E167" s="7">
        <v>78</v>
      </c>
      <c r="F167" s="6" t="s">
        <v>1</v>
      </c>
      <c r="G167" s="6" t="s">
        <v>2</v>
      </c>
      <c r="H167" s="11">
        <f t="shared" si="24"/>
        <v>2.3853211009174311</v>
      </c>
      <c r="I167" s="20" t="s">
        <v>28</v>
      </c>
      <c r="J167" s="24"/>
      <c r="K167" s="24"/>
      <c r="L167" s="24"/>
      <c r="M167" s="24"/>
      <c r="N167" s="24"/>
      <c r="O167" s="24"/>
      <c r="P167" s="24"/>
      <c r="Q167" s="24"/>
      <c r="R167" s="24"/>
      <c r="S167" s="7">
        <f t="shared" si="25"/>
        <v>5.2431075229357793</v>
      </c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ht="16.5" customHeight="1" thickBot="1">
      <c r="A168" s="4" t="s">
        <v>190</v>
      </c>
      <c r="B168" s="5">
        <v>45597</v>
      </c>
      <c r="C168" s="6" t="s">
        <v>4</v>
      </c>
      <c r="D168" s="6" t="s">
        <v>6</v>
      </c>
      <c r="E168" s="7">
        <v>67.5</v>
      </c>
      <c r="F168" s="6" t="s">
        <v>1</v>
      </c>
      <c r="G168" s="6" t="s">
        <v>2</v>
      </c>
      <c r="H168" s="11">
        <f t="shared" si="24"/>
        <v>2.0642201834862384</v>
      </c>
      <c r="I168" s="20" t="s">
        <v>28</v>
      </c>
      <c r="J168" s="24"/>
      <c r="K168" s="24"/>
      <c r="L168" s="24"/>
      <c r="M168" s="24"/>
      <c r="N168" s="24"/>
      <c r="O168" s="24"/>
      <c r="P168" s="24"/>
      <c r="Q168" s="24"/>
      <c r="R168" s="24"/>
      <c r="S168" s="7">
        <f t="shared" si="25"/>
        <v>4.5373045871559627</v>
      </c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ht="16.5" customHeight="1" thickBot="1">
      <c r="A169" s="4" t="s">
        <v>191</v>
      </c>
      <c r="B169" s="5">
        <v>45627</v>
      </c>
      <c r="C169" s="6" t="s">
        <v>4</v>
      </c>
      <c r="D169" s="6" t="s">
        <v>6</v>
      </c>
      <c r="E169" s="7">
        <v>81</v>
      </c>
      <c r="F169" s="6" t="s">
        <v>1</v>
      </c>
      <c r="G169" s="6" t="s">
        <v>2</v>
      </c>
      <c r="H169" s="11">
        <f t="shared" si="24"/>
        <v>2.477064220183486</v>
      </c>
      <c r="I169" s="20" t="s">
        <v>28</v>
      </c>
      <c r="J169" s="25"/>
      <c r="K169" s="25"/>
      <c r="L169" s="25"/>
      <c r="M169" s="25"/>
      <c r="N169" s="25"/>
      <c r="O169" s="25"/>
      <c r="P169" s="25"/>
      <c r="Q169" s="25"/>
      <c r="R169" s="25"/>
      <c r="S169" s="7">
        <f t="shared" si="25"/>
        <v>5.4447655045871546</v>
      </c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ht="16.5" customHeight="1" thickBot="1">
      <c r="A170" s="4" t="s">
        <v>192</v>
      </c>
      <c r="B170" s="5">
        <v>45292</v>
      </c>
      <c r="C170" s="6" t="s">
        <v>4</v>
      </c>
      <c r="D170" s="6" t="s">
        <v>42</v>
      </c>
      <c r="E170" s="7">
        <v>0</v>
      </c>
      <c r="F170" s="6" t="s">
        <v>7</v>
      </c>
      <c r="G170" s="6" t="s">
        <v>2</v>
      </c>
      <c r="H170" s="12">
        <f t="shared" ref="H170:H193" si="26">E170/1000</f>
        <v>0</v>
      </c>
      <c r="I170" s="19" t="s">
        <v>12</v>
      </c>
      <c r="J170" s="26"/>
      <c r="K170" s="26">
        <v>0.9</v>
      </c>
      <c r="L170" s="26" t="s">
        <v>43</v>
      </c>
      <c r="M170" s="27">
        <v>0.2</v>
      </c>
      <c r="N170" s="27" t="s">
        <v>44</v>
      </c>
      <c r="O170" s="30">
        <v>23900</v>
      </c>
      <c r="P170" s="33"/>
      <c r="Q170" s="34"/>
      <c r="R170" s="34"/>
      <c r="S170" s="13">
        <f t="shared" ref="S170:S181" si="27">H170*$K$170*$M$170*$O$170</f>
        <v>0</v>
      </c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ht="16.5" customHeight="1" thickBot="1">
      <c r="A171" s="4" t="s">
        <v>193</v>
      </c>
      <c r="B171" s="5">
        <v>45323</v>
      </c>
      <c r="C171" s="6" t="s">
        <v>4</v>
      </c>
      <c r="D171" s="6" t="s">
        <v>42</v>
      </c>
      <c r="E171" s="7">
        <v>0</v>
      </c>
      <c r="F171" s="6" t="s">
        <v>7</v>
      </c>
      <c r="G171" s="6" t="s">
        <v>2</v>
      </c>
      <c r="H171" s="12">
        <f t="shared" si="26"/>
        <v>0</v>
      </c>
      <c r="I171" s="19" t="s">
        <v>12</v>
      </c>
      <c r="J171" s="24"/>
      <c r="K171" s="24"/>
      <c r="L171" s="24"/>
      <c r="M171" s="28"/>
      <c r="N171" s="28"/>
      <c r="O171" s="31"/>
      <c r="P171" s="31"/>
      <c r="Q171" s="31"/>
      <c r="R171" s="31"/>
      <c r="S171" s="13">
        <f t="shared" si="27"/>
        <v>0</v>
      </c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ht="16.5" customHeight="1" thickBot="1">
      <c r="A172" s="4" t="s">
        <v>194</v>
      </c>
      <c r="B172" s="5">
        <v>45352</v>
      </c>
      <c r="C172" s="6" t="s">
        <v>4</v>
      </c>
      <c r="D172" s="6" t="s">
        <v>42</v>
      </c>
      <c r="E172" s="7">
        <v>0</v>
      </c>
      <c r="F172" s="6" t="s">
        <v>7</v>
      </c>
      <c r="G172" s="6" t="s">
        <v>2</v>
      </c>
      <c r="H172" s="12">
        <f t="shared" si="26"/>
        <v>0</v>
      </c>
      <c r="I172" s="19" t="s">
        <v>12</v>
      </c>
      <c r="J172" s="24"/>
      <c r="K172" s="24"/>
      <c r="L172" s="24"/>
      <c r="M172" s="28"/>
      <c r="N172" s="28"/>
      <c r="O172" s="31"/>
      <c r="P172" s="31"/>
      <c r="Q172" s="31"/>
      <c r="R172" s="31"/>
      <c r="S172" s="13">
        <f t="shared" si="27"/>
        <v>0</v>
      </c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ht="16.5" customHeight="1" thickBot="1">
      <c r="A173" s="4" t="s">
        <v>195</v>
      </c>
      <c r="B173" s="5">
        <v>45383</v>
      </c>
      <c r="C173" s="6" t="s">
        <v>4</v>
      </c>
      <c r="D173" s="6" t="s">
        <v>42</v>
      </c>
      <c r="E173" s="7">
        <v>0</v>
      </c>
      <c r="F173" s="6" t="s">
        <v>7</v>
      </c>
      <c r="G173" s="6" t="s">
        <v>2</v>
      </c>
      <c r="H173" s="12">
        <f t="shared" si="26"/>
        <v>0</v>
      </c>
      <c r="I173" s="19" t="s">
        <v>12</v>
      </c>
      <c r="J173" s="24"/>
      <c r="K173" s="24"/>
      <c r="L173" s="24"/>
      <c r="M173" s="28"/>
      <c r="N173" s="28"/>
      <c r="O173" s="31"/>
      <c r="P173" s="31"/>
      <c r="Q173" s="31"/>
      <c r="R173" s="31"/>
      <c r="S173" s="13">
        <f t="shared" si="27"/>
        <v>0</v>
      </c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ht="16.5" customHeight="1" thickBot="1">
      <c r="A174" s="4" t="s">
        <v>196</v>
      </c>
      <c r="B174" s="5">
        <v>45413</v>
      </c>
      <c r="C174" s="6" t="s">
        <v>4</v>
      </c>
      <c r="D174" s="6" t="s">
        <v>42</v>
      </c>
      <c r="E174" s="7">
        <v>0</v>
      </c>
      <c r="F174" s="6" t="s">
        <v>7</v>
      </c>
      <c r="G174" s="6" t="s">
        <v>2</v>
      </c>
      <c r="H174" s="12">
        <f t="shared" si="26"/>
        <v>0</v>
      </c>
      <c r="I174" s="19" t="s">
        <v>12</v>
      </c>
      <c r="J174" s="24"/>
      <c r="K174" s="24"/>
      <c r="L174" s="24"/>
      <c r="M174" s="28"/>
      <c r="N174" s="28"/>
      <c r="O174" s="31"/>
      <c r="P174" s="31"/>
      <c r="Q174" s="31"/>
      <c r="R174" s="31"/>
      <c r="S174" s="13">
        <f t="shared" si="27"/>
        <v>0</v>
      </c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ht="16.5" customHeight="1" thickBot="1">
      <c r="A175" s="4" t="s">
        <v>197</v>
      </c>
      <c r="B175" s="5">
        <v>45444</v>
      </c>
      <c r="C175" s="6" t="s">
        <v>4</v>
      </c>
      <c r="D175" s="6" t="s">
        <v>42</v>
      </c>
      <c r="E175" s="7">
        <v>0</v>
      </c>
      <c r="F175" s="6" t="s">
        <v>7</v>
      </c>
      <c r="G175" s="6" t="s">
        <v>2</v>
      </c>
      <c r="H175" s="12">
        <f t="shared" si="26"/>
        <v>0</v>
      </c>
      <c r="I175" s="19" t="s">
        <v>12</v>
      </c>
      <c r="J175" s="24"/>
      <c r="K175" s="24"/>
      <c r="L175" s="24"/>
      <c r="M175" s="28"/>
      <c r="N175" s="28"/>
      <c r="O175" s="31"/>
      <c r="P175" s="31"/>
      <c r="Q175" s="31"/>
      <c r="R175" s="31"/>
      <c r="S175" s="13">
        <f t="shared" si="27"/>
        <v>0</v>
      </c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ht="16.5" customHeight="1" thickBot="1">
      <c r="A176" s="4" t="s">
        <v>198</v>
      </c>
      <c r="B176" s="5">
        <v>45474</v>
      </c>
      <c r="C176" s="6" t="s">
        <v>4</v>
      </c>
      <c r="D176" s="6" t="s">
        <v>42</v>
      </c>
      <c r="E176" s="7">
        <v>0</v>
      </c>
      <c r="F176" s="6" t="s">
        <v>7</v>
      </c>
      <c r="G176" s="6" t="s">
        <v>2</v>
      </c>
      <c r="H176" s="12">
        <f t="shared" si="26"/>
        <v>0</v>
      </c>
      <c r="I176" s="19" t="s">
        <v>12</v>
      </c>
      <c r="J176" s="24"/>
      <c r="K176" s="24"/>
      <c r="L176" s="24"/>
      <c r="M176" s="28"/>
      <c r="N176" s="28"/>
      <c r="O176" s="31"/>
      <c r="P176" s="31"/>
      <c r="Q176" s="31"/>
      <c r="R176" s="31"/>
      <c r="S176" s="13">
        <f t="shared" si="27"/>
        <v>0</v>
      </c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ht="16.5" customHeight="1" thickBot="1">
      <c r="A177" s="4" t="s">
        <v>199</v>
      </c>
      <c r="B177" s="5">
        <v>45505</v>
      </c>
      <c r="C177" s="6" t="s">
        <v>4</v>
      </c>
      <c r="D177" s="6" t="s">
        <v>42</v>
      </c>
      <c r="E177" s="7">
        <v>0</v>
      </c>
      <c r="F177" s="6" t="s">
        <v>7</v>
      </c>
      <c r="G177" s="6" t="s">
        <v>2</v>
      </c>
      <c r="H177" s="12">
        <f t="shared" si="26"/>
        <v>0</v>
      </c>
      <c r="I177" s="19" t="s">
        <v>12</v>
      </c>
      <c r="J177" s="24"/>
      <c r="K177" s="24"/>
      <c r="L177" s="24"/>
      <c r="M177" s="28"/>
      <c r="N177" s="28"/>
      <c r="O177" s="31"/>
      <c r="P177" s="31"/>
      <c r="Q177" s="31"/>
      <c r="R177" s="31"/>
      <c r="S177" s="13">
        <f t="shared" si="27"/>
        <v>0</v>
      </c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ht="16.5" customHeight="1" thickBot="1">
      <c r="A178" s="4" t="s">
        <v>200</v>
      </c>
      <c r="B178" s="5">
        <v>45536</v>
      </c>
      <c r="C178" s="6" t="s">
        <v>4</v>
      </c>
      <c r="D178" s="6" t="s">
        <v>42</v>
      </c>
      <c r="E178" s="7">
        <v>0</v>
      </c>
      <c r="F178" s="6" t="s">
        <v>7</v>
      </c>
      <c r="G178" s="6" t="s">
        <v>2</v>
      </c>
      <c r="H178" s="12">
        <f t="shared" si="26"/>
        <v>0</v>
      </c>
      <c r="I178" s="19" t="s">
        <v>12</v>
      </c>
      <c r="J178" s="24"/>
      <c r="K178" s="24"/>
      <c r="L178" s="24"/>
      <c r="M178" s="28"/>
      <c r="N178" s="28"/>
      <c r="O178" s="31"/>
      <c r="P178" s="31"/>
      <c r="Q178" s="31"/>
      <c r="R178" s="31"/>
      <c r="S178" s="13">
        <f t="shared" si="27"/>
        <v>0</v>
      </c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ht="16.5" customHeight="1" thickBot="1">
      <c r="A179" s="4" t="s">
        <v>201</v>
      </c>
      <c r="B179" s="5">
        <v>45566</v>
      </c>
      <c r="C179" s="6" t="s">
        <v>4</v>
      </c>
      <c r="D179" s="6" t="s">
        <v>42</v>
      </c>
      <c r="E179" s="7">
        <v>0</v>
      </c>
      <c r="F179" s="6" t="s">
        <v>7</v>
      </c>
      <c r="G179" s="6" t="s">
        <v>2</v>
      </c>
      <c r="H179" s="12">
        <f t="shared" si="26"/>
        <v>0</v>
      </c>
      <c r="I179" s="19" t="s">
        <v>12</v>
      </c>
      <c r="J179" s="24"/>
      <c r="K179" s="24"/>
      <c r="L179" s="24"/>
      <c r="M179" s="28"/>
      <c r="N179" s="28"/>
      <c r="O179" s="31"/>
      <c r="P179" s="31"/>
      <c r="Q179" s="31"/>
      <c r="R179" s="31"/>
      <c r="S179" s="13">
        <f t="shared" si="27"/>
        <v>0</v>
      </c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ht="16.5" customHeight="1" thickBot="1">
      <c r="A180" s="4" t="s">
        <v>202</v>
      </c>
      <c r="B180" s="5">
        <v>45597</v>
      </c>
      <c r="C180" s="6" t="s">
        <v>4</v>
      </c>
      <c r="D180" s="6" t="s">
        <v>42</v>
      </c>
      <c r="E180" s="7">
        <v>0</v>
      </c>
      <c r="F180" s="6" t="s">
        <v>7</v>
      </c>
      <c r="G180" s="6" t="s">
        <v>2</v>
      </c>
      <c r="H180" s="12">
        <f t="shared" si="26"/>
        <v>0</v>
      </c>
      <c r="I180" s="19" t="s">
        <v>12</v>
      </c>
      <c r="J180" s="24"/>
      <c r="K180" s="24"/>
      <c r="L180" s="24"/>
      <c r="M180" s="28"/>
      <c r="N180" s="28"/>
      <c r="O180" s="31"/>
      <c r="P180" s="31"/>
      <c r="Q180" s="31"/>
      <c r="R180" s="31"/>
      <c r="S180" s="13">
        <f t="shared" si="27"/>
        <v>0</v>
      </c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ht="16.5" customHeight="1" thickBot="1">
      <c r="A181" s="4" t="s">
        <v>203</v>
      </c>
      <c r="B181" s="5">
        <v>45627</v>
      </c>
      <c r="C181" s="6" t="s">
        <v>4</v>
      </c>
      <c r="D181" s="6" t="s">
        <v>42</v>
      </c>
      <c r="E181" s="7">
        <v>0</v>
      </c>
      <c r="F181" s="6" t="s">
        <v>7</v>
      </c>
      <c r="G181" s="6" t="s">
        <v>2</v>
      </c>
      <c r="H181" s="12">
        <f t="shared" si="26"/>
        <v>0</v>
      </c>
      <c r="I181" s="19" t="s">
        <v>12</v>
      </c>
      <c r="J181" s="25"/>
      <c r="K181" s="25"/>
      <c r="L181" s="25"/>
      <c r="M181" s="29"/>
      <c r="N181" s="28"/>
      <c r="O181" s="32"/>
      <c r="P181" s="31"/>
      <c r="Q181" s="31"/>
      <c r="R181" s="31"/>
      <c r="S181" s="13">
        <f t="shared" si="27"/>
        <v>0</v>
      </c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ht="16.5" customHeight="1" thickBot="1">
      <c r="A182" s="4" t="s">
        <v>204</v>
      </c>
      <c r="B182" s="5">
        <v>45292</v>
      </c>
      <c r="C182" s="6" t="s">
        <v>4</v>
      </c>
      <c r="D182" s="6" t="s">
        <v>8</v>
      </c>
      <c r="E182" s="7">
        <v>0</v>
      </c>
      <c r="F182" s="6" t="s">
        <v>7</v>
      </c>
      <c r="G182" s="6" t="s">
        <v>2</v>
      </c>
      <c r="H182" s="14">
        <f t="shared" si="26"/>
        <v>0</v>
      </c>
      <c r="I182" s="19" t="s">
        <v>12</v>
      </c>
      <c r="J182" s="26"/>
      <c r="K182" s="26">
        <v>0.9</v>
      </c>
      <c r="L182" s="26" t="s">
        <v>43</v>
      </c>
      <c r="M182" s="27">
        <v>0.4</v>
      </c>
      <c r="N182" s="27" t="s">
        <v>44</v>
      </c>
      <c r="O182" s="30">
        <v>11700</v>
      </c>
      <c r="P182" s="33"/>
      <c r="Q182" s="34"/>
      <c r="R182" s="34"/>
      <c r="S182" s="7">
        <f t="shared" ref="S182:S193" si="28">H182*$K$182*$M$182*$O$182</f>
        <v>0</v>
      </c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ht="16.5" customHeight="1" thickBot="1">
      <c r="A183" s="4" t="s">
        <v>205</v>
      </c>
      <c r="B183" s="5">
        <v>45323</v>
      </c>
      <c r="C183" s="6" t="s">
        <v>4</v>
      </c>
      <c r="D183" s="6" t="s">
        <v>8</v>
      </c>
      <c r="E183" s="7">
        <v>0</v>
      </c>
      <c r="F183" s="6" t="s">
        <v>7</v>
      </c>
      <c r="G183" s="6" t="s">
        <v>2</v>
      </c>
      <c r="H183" s="14">
        <f t="shared" si="26"/>
        <v>0</v>
      </c>
      <c r="I183" s="19" t="s">
        <v>12</v>
      </c>
      <c r="J183" s="24"/>
      <c r="K183" s="24"/>
      <c r="L183" s="24"/>
      <c r="M183" s="28"/>
      <c r="N183" s="28"/>
      <c r="O183" s="31"/>
      <c r="P183" s="31"/>
      <c r="Q183" s="31"/>
      <c r="R183" s="31"/>
      <c r="S183" s="7">
        <f t="shared" si="28"/>
        <v>0</v>
      </c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ht="16.5" customHeight="1" thickBot="1">
      <c r="A184" s="4" t="s">
        <v>206</v>
      </c>
      <c r="B184" s="5">
        <v>45352</v>
      </c>
      <c r="C184" s="6" t="s">
        <v>4</v>
      </c>
      <c r="D184" s="6" t="s">
        <v>8</v>
      </c>
      <c r="E184" s="7">
        <v>0</v>
      </c>
      <c r="F184" s="6" t="s">
        <v>7</v>
      </c>
      <c r="G184" s="6" t="s">
        <v>2</v>
      </c>
      <c r="H184" s="14">
        <f t="shared" si="26"/>
        <v>0</v>
      </c>
      <c r="I184" s="19" t="s">
        <v>12</v>
      </c>
      <c r="J184" s="24"/>
      <c r="K184" s="24"/>
      <c r="L184" s="24"/>
      <c r="M184" s="28"/>
      <c r="N184" s="28"/>
      <c r="O184" s="31"/>
      <c r="P184" s="31"/>
      <c r="Q184" s="31"/>
      <c r="R184" s="31"/>
      <c r="S184" s="7">
        <f t="shared" si="28"/>
        <v>0</v>
      </c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ht="16.5" customHeight="1" thickBot="1">
      <c r="A185" s="4" t="s">
        <v>207</v>
      </c>
      <c r="B185" s="5">
        <v>45383</v>
      </c>
      <c r="C185" s="6" t="s">
        <v>4</v>
      </c>
      <c r="D185" s="6" t="s">
        <v>8</v>
      </c>
      <c r="E185" s="7">
        <v>0</v>
      </c>
      <c r="F185" s="6" t="s">
        <v>7</v>
      </c>
      <c r="G185" s="6" t="s">
        <v>2</v>
      </c>
      <c r="H185" s="14">
        <f t="shared" si="26"/>
        <v>0</v>
      </c>
      <c r="I185" s="19" t="s">
        <v>12</v>
      </c>
      <c r="J185" s="24"/>
      <c r="K185" s="24"/>
      <c r="L185" s="24"/>
      <c r="M185" s="28"/>
      <c r="N185" s="28"/>
      <c r="O185" s="31"/>
      <c r="P185" s="31"/>
      <c r="Q185" s="31"/>
      <c r="R185" s="31"/>
      <c r="S185" s="7">
        <f t="shared" si="28"/>
        <v>0</v>
      </c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ht="16.5" customHeight="1" thickBot="1">
      <c r="A186" s="4" t="s">
        <v>208</v>
      </c>
      <c r="B186" s="5">
        <v>45413</v>
      </c>
      <c r="C186" s="6" t="s">
        <v>4</v>
      </c>
      <c r="D186" s="6" t="s">
        <v>8</v>
      </c>
      <c r="E186" s="7">
        <v>0</v>
      </c>
      <c r="F186" s="6" t="s">
        <v>7</v>
      </c>
      <c r="G186" s="6" t="s">
        <v>2</v>
      </c>
      <c r="H186" s="14">
        <f t="shared" si="26"/>
        <v>0</v>
      </c>
      <c r="I186" s="19" t="s">
        <v>12</v>
      </c>
      <c r="J186" s="24"/>
      <c r="K186" s="24"/>
      <c r="L186" s="24"/>
      <c r="M186" s="28"/>
      <c r="N186" s="28"/>
      <c r="O186" s="31"/>
      <c r="P186" s="31"/>
      <c r="Q186" s="31"/>
      <c r="R186" s="31"/>
      <c r="S186" s="7">
        <f t="shared" si="28"/>
        <v>0</v>
      </c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ht="16.5" customHeight="1" thickBot="1">
      <c r="A187" s="4" t="s">
        <v>209</v>
      </c>
      <c r="B187" s="5">
        <v>45444</v>
      </c>
      <c r="C187" s="6" t="s">
        <v>4</v>
      </c>
      <c r="D187" s="6" t="s">
        <v>8</v>
      </c>
      <c r="E187" s="7">
        <v>0</v>
      </c>
      <c r="F187" s="6" t="s">
        <v>7</v>
      </c>
      <c r="G187" s="6" t="s">
        <v>2</v>
      </c>
      <c r="H187" s="14">
        <f t="shared" si="26"/>
        <v>0</v>
      </c>
      <c r="I187" s="19" t="s">
        <v>12</v>
      </c>
      <c r="J187" s="24"/>
      <c r="K187" s="24"/>
      <c r="L187" s="24"/>
      <c r="M187" s="28"/>
      <c r="N187" s="28"/>
      <c r="O187" s="31"/>
      <c r="P187" s="31"/>
      <c r="Q187" s="31"/>
      <c r="R187" s="31"/>
      <c r="S187" s="7">
        <f t="shared" si="28"/>
        <v>0</v>
      </c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ht="16.5" customHeight="1" thickBot="1">
      <c r="A188" s="4" t="s">
        <v>210</v>
      </c>
      <c r="B188" s="5">
        <v>45474</v>
      </c>
      <c r="C188" s="6" t="s">
        <v>4</v>
      </c>
      <c r="D188" s="6" t="s">
        <v>8</v>
      </c>
      <c r="E188" s="7">
        <v>0</v>
      </c>
      <c r="F188" s="6" t="s">
        <v>7</v>
      </c>
      <c r="G188" s="6" t="s">
        <v>2</v>
      </c>
      <c r="H188" s="14">
        <f t="shared" si="26"/>
        <v>0</v>
      </c>
      <c r="I188" s="19" t="s">
        <v>12</v>
      </c>
      <c r="J188" s="24"/>
      <c r="K188" s="24"/>
      <c r="L188" s="24"/>
      <c r="M188" s="28"/>
      <c r="N188" s="28"/>
      <c r="O188" s="31"/>
      <c r="P188" s="31"/>
      <c r="Q188" s="31"/>
      <c r="R188" s="31"/>
      <c r="S188" s="7">
        <f t="shared" si="28"/>
        <v>0</v>
      </c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ht="16.5" customHeight="1" thickBot="1">
      <c r="A189" s="4" t="s">
        <v>211</v>
      </c>
      <c r="B189" s="5">
        <v>45505</v>
      </c>
      <c r="C189" s="6" t="s">
        <v>4</v>
      </c>
      <c r="D189" s="6" t="s">
        <v>8</v>
      </c>
      <c r="E189" s="7">
        <v>0</v>
      </c>
      <c r="F189" s="6" t="s">
        <v>7</v>
      </c>
      <c r="G189" s="6" t="s">
        <v>2</v>
      </c>
      <c r="H189" s="14">
        <f t="shared" si="26"/>
        <v>0</v>
      </c>
      <c r="I189" s="19" t="s">
        <v>12</v>
      </c>
      <c r="J189" s="24"/>
      <c r="K189" s="24"/>
      <c r="L189" s="24"/>
      <c r="M189" s="28"/>
      <c r="N189" s="28"/>
      <c r="O189" s="31"/>
      <c r="P189" s="31"/>
      <c r="Q189" s="31"/>
      <c r="R189" s="31"/>
      <c r="S189" s="7">
        <f t="shared" si="28"/>
        <v>0</v>
      </c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ht="16.5" customHeight="1" thickBot="1">
      <c r="A190" s="4" t="s">
        <v>212</v>
      </c>
      <c r="B190" s="5">
        <v>45536</v>
      </c>
      <c r="C190" s="6" t="s">
        <v>4</v>
      </c>
      <c r="D190" s="6" t="s">
        <v>8</v>
      </c>
      <c r="E190" s="7">
        <v>0</v>
      </c>
      <c r="F190" s="6" t="s">
        <v>7</v>
      </c>
      <c r="G190" s="6" t="s">
        <v>2</v>
      </c>
      <c r="H190" s="14">
        <f t="shared" si="26"/>
        <v>0</v>
      </c>
      <c r="I190" s="19" t="s">
        <v>12</v>
      </c>
      <c r="J190" s="24"/>
      <c r="K190" s="24"/>
      <c r="L190" s="24"/>
      <c r="M190" s="28"/>
      <c r="N190" s="28"/>
      <c r="O190" s="31"/>
      <c r="P190" s="31"/>
      <c r="Q190" s="31"/>
      <c r="R190" s="31"/>
      <c r="S190" s="7">
        <f t="shared" si="28"/>
        <v>0</v>
      </c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ht="16.5" customHeight="1" thickBot="1">
      <c r="A191" s="4" t="s">
        <v>213</v>
      </c>
      <c r="B191" s="5">
        <v>45566</v>
      </c>
      <c r="C191" s="6" t="s">
        <v>4</v>
      </c>
      <c r="D191" s="6" t="s">
        <v>8</v>
      </c>
      <c r="E191" s="7">
        <v>0</v>
      </c>
      <c r="F191" s="6" t="s">
        <v>7</v>
      </c>
      <c r="G191" s="6" t="s">
        <v>2</v>
      </c>
      <c r="H191" s="14">
        <f t="shared" si="26"/>
        <v>0</v>
      </c>
      <c r="I191" s="19" t="s">
        <v>12</v>
      </c>
      <c r="J191" s="24"/>
      <c r="K191" s="24"/>
      <c r="L191" s="24"/>
      <c r="M191" s="28"/>
      <c r="N191" s="28"/>
      <c r="O191" s="31"/>
      <c r="P191" s="31"/>
      <c r="Q191" s="31"/>
      <c r="R191" s="31"/>
      <c r="S191" s="7">
        <f t="shared" si="28"/>
        <v>0</v>
      </c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ht="16.5" customHeight="1" thickBot="1">
      <c r="A192" s="4" t="s">
        <v>214</v>
      </c>
      <c r="B192" s="5">
        <v>45597</v>
      </c>
      <c r="C192" s="6" t="s">
        <v>4</v>
      </c>
      <c r="D192" s="6" t="s">
        <v>8</v>
      </c>
      <c r="E192" s="7">
        <v>0</v>
      </c>
      <c r="F192" s="6" t="s">
        <v>7</v>
      </c>
      <c r="G192" s="6" t="s">
        <v>2</v>
      </c>
      <c r="H192" s="14">
        <f t="shared" si="26"/>
        <v>0</v>
      </c>
      <c r="I192" s="19" t="s">
        <v>12</v>
      </c>
      <c r="J192" s="24"/>
      <c r="K192" s="24"/>
      <c r="L192" s="24"/>
      <c r="M192" s="28"/>
      <c r="N192" s="28"/>
      <c r="O192" s="31"/>
      <c r="P192" s="31"/>
      <c r="Q192" s="31"/>
      <c r="R192" s="31"/>
      <c r="S192" s="7">
        <f t="shared" si="28"/>
        <v>0</v>
      </c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ht="15.75" customHeight="1" thickBot="1">
      <c r="A193" s="4" t="s">
        <v>215</v>
      </c>
      <c r="B193" s="5">
        <v>45627</v>
      </c>
      <c r="C193" s="6" t="s">
        <v>4</v>
      </c>
      <c r="D193" s="6" t="s">
        <v>8</v>
      </c>
      <c r="E193" s="7">
        <v>0</v>
      </c>
      <c r="F193" s="6" t="s">
        <v>7</v>
      </c>
      <c r="G193" s="6" t="s">
        <v>2</v>
      </c>
      <c r="H193" s="14">
        <f t="shared" si="26"/>
        <v>0</v>
      </c>
      <c r="I193" s="19" t="s">
        <v>12</v>
      </c>
      <c r="J193" s="25"/>
      <c r="K193" s="25"/>
      <c r="L193" s="25"/>
      <c r="M193" s="29"/>
      <c r="N193" s="28"/>
      <c r="O193" s="32"/>
      <c r="P193" s="31"/>
      <c r="Q193" s="31"/>
      <c r="R193" s="31"/>
      <c r="S193" s="7">
        <f t="shared" si="28"/>
        <v>0</v>
      </c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ht="16.5" customHeight="1" thickBot="1">
      <c r="A194" s="4" t="s">
        <v>216</v>
      </c>
      <c r="B194" s="5">
        <v>45292</v>
      </c>
      <c r="C194" s="6" t="s">
        <v>4</v>
      </c>
      <c r="D194" s="6" t="s">
        <v>9</v>
      </c>
      <c r="E194" s="7">
        <v>70.050000000000011</v>
      </c>
      <c r="F194" s="6" t="s">
        <v>10</v>
      </c>
      <c r="G194" s="6" t="s">
        <v>11</v>
      </c>
      <c r="H194" s="12">
        <f t="shared" ref="H194:H205" si="29">E194*10^6</f>
        <v>70050000.000000015</v>
      </c>
      <c r="I194" s="21" t="s">
        <v>69</v>
      </c>
      <c r="J194" s="26">
        <v>9.6</v>
      </c>
      <c r="K194" s="26"/>
      <c r="L194" s="26" t="s">
        <v>70</v>
      </c>
      <c r="M194" s="26">
        <v>0.45669999999999999</v>
      </c>
      <c r="N194" s="26">
        <v>3.5999999999999999E-3</v>
      </c>
      <c r="O194" s="26">
        <v>8.0999999999999996E-3</v>
      </c>
      <c r="P194" s="23">
        <v>1</v>
      </c>
      <c r="Q194" s="23">
        <v>21</v>
      </c>
      <c r="R194" s="23">
        <v>310</v>
      </c>
      <c r="S194" s="7">
        <f t="shared" ref="S194:S205" si="30">((H194*$J$194*$M$194*$P$194)+(H194*$J$194*$N$194*$Q$194)+(H194*$J$194*$O$194*$R$194))*10^-6</f>
        <v>2046.5583840000002</v>
      </c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ht="16.5" customHeight="1" thickBot="1">
      <c r="A195" s="4" t="s">
        <v>217</v>
      </c>
      <c r="B195" s="5">
        <v>45323</v>
      </c>
      <c r="C195" s="6" t="s">
        <v>4</v>
      </c>
      <c r="D195" s="6" t="s">
        <v>9</v>
      </c>
      <c r="E195" s="7">
        <v>128.14999999999998</v>
      </c>
      <c r="F195" s="6" t="s">
        <v>10</v>
      </c>
      <c r="G195" s="6" t="s">
        <v>11</v>
      </c>
      <c r="H195" s="12">
        <f t="shared" si="29"/>
        <v>128149999.99999997</v>
      </c>
      <c r="I195" s="21" t="s">
        <v>69</v>
      </c>
      <c r="J195" s="24"/>
      <c r="K195" s="24"/>
      <c r="L195" s="24"/>
      <c r="M195" s="24"/>
      <c r="N195" s="24"/>
      <c r="O195" s="24"/>
      <c r="P195" s="24"/>
      <c r="Q195" s="24"/>
      <c r="R195" s="24"/>
      <c r="S195" s="7">
        <f t="shared" si="30"/>
        <v>3743.9893919999995</v>
      </c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ht="16.5" customHeight="1" thickBot="1">
      <c r="A196" s="4" t="s">
        <v>218</v>
      </c>
      <c r="B196" s="5">
        <v>45352</v>
      </c>
      <c r="C196" s="6" t="s">
        <v>4</v>
      </c>
      <c r="D196" s="6" t="s">
        <v>9</v>
      </c>
      <c r="E196" s="7">
        <v>74.95</v>
      </c>
      <c r="F196" s="6" t="s">
        <v>10</v>
      </c>
      <c r="G196" s="6" t="s">
        <v>11</v>
      </c>
      <c r="H196" s="12">
        <f t="shared" si="29"/>
        <v>74950000</v>
      </c>
      <c r="I196" s="21" t="s">
        <v>69</v>
      </c>
      <c r="J196" s="24"/>
      <c r="K196" s="24"/>
      <c r="L196" s="24"/>
      <c r="M196" s="24"/>
      <c r="N196" s="24"/>
      <c r="O196" s="24"/>
      <c r="P196" s="24"/>
      <c r="Q196" s="24"/>
      <c r="R196" s="24"/>
      <c r="S196" s="7">
        <f t="shared" si="30"/>
        <v>2189.7152160000001</v>
      </c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ht="16.5" customHeight="1" thickBot="1">
      <c r="A197" s="4" t="s">
        <v>219</v>
      </c>
      <c r="B197" s="5">
        <v>45383</v>
      </c>
      <c r="C197" s="6" t="s">
        <v>4</v>
      </c>
      <c r="D197" s="6" t="s">
        <v>9</v>
      </c>
      <c r="E197" s="7">
        <v>56.900000000000006</v>
      </c>
      <c r="F197" s="6" t="s">
        <v>10</v>
      </c>
      <c r="G197" s="6" t="s">
        <v>11</v>
      </c>
      <c r="H197" s="12">
        <f t="shared" si="29"/>
        <v>56900000.000000007</v>
      </c>
      <c r="I197" s="21" t="s">
        <v>69</v>
      </c>
      <c r="J197" s="24"/>
      <c r="K197" s="24"/>
      <c r="L197" s="24"/>
      <c r="M197" s="24"/>
      <c r="N197" s="24"/>
      <c r="O197" s="24"/>
      <c r="P197" s="24"/>
      <c r="Q197" s="24"/>
      <c r="R197" s="24"/>
      <c r="S197" s="7">
        <f t="shared" si="30"/>
        <v>1662.3721919999998</v>
      </c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ht="16.5" customHeight="1" thickBot="1">
      <c r="A198" s="4" t="s">
        <v>220</v>
      </c>
      <c r="B198" s="5">
        <v>45413</v>
      </c>
      <c r="C198" s="6" t="s">
        <v>4</v>
      </c>
      <c r="D198" s="6" t="s">
        <v>9</v>
      </c>
      <c r="E198" s="7">
        <v>86.15</v>
      </c>
      <c r="F198" s="6" t="s">
        <v>10</v>
      </c>
      <c r="G198" s="6" t="s">
        <v>11</v>
      </c>
      <c r="H198" s="12">
        <f t="shared" si="29"/>
        <v>86150000</v>
      </c>
      <c r="I198" s="21" t="s">
        <v>69</v>
      </c>
      <c r="J198" s="24"/>
      <c r="K198" s="24"/>
      <c r="L198" s="24"/>
      <c r="M198" s="24"/>
      <c r="N198" s="24"/>
      <c r="O198" s="24"/>
      <c r="P198" s="24"/>
      <c r="Q198" s="24"/>
      <c r="R198" s="24"/>
      <c r="S198" s="7">
        <f t="shared" si="30"/>
        <v>2516.930832</v>
      </c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ht="16.5" customHeight="1" thickBot="1">
      <c r="A199" s="4" t="s">
        <v>221</v>
      </c>
      <c r="B199" s="5">
        <v>45444</v>
      </c>
      <c r="C199" s="6" t="s">
        <v>4</v>
      </c>
      <c r="D199" s="6" t="s">
        <v>9</v>
      </c>
      <c r="E199" s="7">
        <v>110.60000000000001</v>
      </c>
      <c r="F199" s="6" t="s">
        <v>10</v>
      </c>
      <c r="G199" s="6" t="s">
        <v>11</v>
      </c>
      <c r="H199" s="12">
        <f t="shared" si="29"/>
        <v>110600000.00000001</v>
      </c>
      <c r="I199" s="21" t="s">
        <v>69</v>
      </c>
      <c r="J199" s="24"/>
      <c r="K199" s="24"/>
      <c r="L199" s="24"/>
      <c r="M199" s="24"/>
      <c r="N199" s="24"/>
      <c r="O199" s="24"/>
      <c r="P199" s="24"/>
      <c r="Q199" s="24"/>
      <c r="R199" s="24"/>
      <c r="S199" s="7">
        <f t="shared" si="30"/>
        <v>3231.2542079999998</v>
      </c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ht="16.5" customHeight="1" thickBot="1">
      <c r="A200" s="4" t="s">
        <v>222</v>
      </c>
      <c r="B200" s="5">
        <v>45474</v>
      </c>
      <c r="C200" s="6" t="s">
        <v>4</v>
      </c>
      <c r="D200" s="6" t="s">
        <v>9</v>
      </c>
      <c r="E200" s="7">
        <v>55.099999999999994</v>
      </c>
      <c r="F200" s="6" t="s">
        <v>10</v>
      </c>
      <c r="G200" s="6" t="s">
        <v>11</v>
      </c>
      <c r="H200" s="12">
        <f t="shared" si="29"/>
        <v>55099999.999999993</v>
      </c>
      <c r="I200" s="21" t="s">
        <v>69</v>
      </c>
      <c r="J200" s="24"/>
      <c r="K200" s="24"/>
      <c r="L200" s="24"/>
      <c r="M200" s="24"/>
      <c r="N200" s="24"/>
      <c r="O200" s="24"/>
      <c r="P200" s="24"/>
      <c r="Q200" s="24"/>
      <c r="R200" s="24"/>
      <c r="S200" s="7">
        <f t="shared" si="30"/>
        <v>1609.7839679999997</v>
      </c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ht="16.5" customHeight="1" thickBot="1">
      <c r="A201" s="4" t="s">
        <v>223</v>
      </c>
      <c r="B201" s="5">
        <v>45505</v>
      </c>
      <c r="C201" s="6" t="s">
        <v>4</v>
      </c>
      <c r="D201" s="6" t="s">
        <v>9</v>
      </c>
      <c r="E201" s="7">
        <v>113.95</v>
      </c>
      <c r="F201" s="6" t="s">
        <v>10</v>
      </c>
      <c r="G201" s="6" t="s">
        <v>11</v>
      </c>
      <c r="H201" s="12">
        <f t="shared" si="29"/>
        <v>113950000</v>
      </c>
      <c r="I201" s="21" t="s">
        <v>69</v>
      </c>
      <c r="J201" s="24"/>
      <c r="K201" s="24"/>
      <c r="L201" s="24"/>
      <c r="M201" s="24"/>
      <c r="N201" s="24"/>
      <c r="O201" s="24"/>
      <c r="P201" s="24"/>
      <c r="Q201" s="24"/>
      <c r="R201" s="24"/>
      <c r="S201" s="7">
        <f t="shared" si="30"/>
        <v>3329.1267359999997</v>
      </c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ht="16.5" customHeight="1" thickBot="1">
      <c r="A202" s="4" t="s">
        <v>224</v>
      </c>
      <c r="B202" s="5">
        <v>45536</v>
      </c>
      <c r="C202" s="6" t="s">
        <v>4</v>
      </c>
      <c r="D202" s="6" t="s">
        <v>9</v>
      </c>
      <c r="E202" s="7">
        <v>84</v>
      </c>
      <c r="F202" s="6" t="s">
        <v>10</v>
      </c>
      <c r="G202" s="6" t="s">
        <v>11</v>
      </c>
      <c r="H202" s="12">
        <f t="shared" si="29"/>
        <v>84000000</v>
      </c>
      <c r="I202" s="21" t="s">
        <v>69</v>
      </c>
      <c r="J202" s="24"/>
      <c r="K202" s="24"/>
      <c r="L202" s="24"/>
      <c r="M202" s="24"/>
      <c r="N202" s="24"/>
      <c r="O202" s="24"/>
      <c r="P202" s="24"/>
      <c r="Q202" s="24"/>
      <c r="R202" s="24"/>
      <c r="S202" s="7">
        <f t="shared" si="30"/>
        <v>2454.1171199999999</v>
      </c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ht="16.5" customHeight="1" thickBot="1">
      <c r="A203" s="4" t="s">
        <v>225</v>
      </c>
      <c r="B203" s="5">
        <v>45566</v>
      </c>
      <c r="C203" s="6" t="s">
        <v>4</v>
      </c>
      <c r="D203" s="6" t="s">
        <v>9</v>
      </c>
      <c r="E203" s="7">
        <v>132</v>
      </c>
      <c r="F203" s="6" t="s">
        <v>10</v>
      </c>
      <c r="G203" s="6" t="s">
        <v>11</v>
      </c>
      <c r="H203" s="12">
        <f t="shared" si="29"/>
        <v>132000000</v>
      </c>
      <c r="I203" s="21" t="s">
        <v>69</v>
      </c>
      <c r="J203" s="24"/>
      <c r="K203" s="24"/>
      <c r="L203" s="24"/>
      <c r="M203" s="24"/>
      <c r="N203" s="24"/>
      <c r="O203" s="24"/>
      <c r="P203" s="24"/>
      <c r="Q203" s="24"/>
      <c r="R203" s="24"/>
      <c r="S203" s="7">
        <f t="shared" si="30"/>
        <v>3856.46976</v>
      </c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ht="16.5" customHeight="1" thickBot="1">
      <c r="A204" s="4" t="s">
        <v>226</v>
      </c>
      <c r="B204" s="5">
        <v>45597</v>
      </c>
      <c r="C204" s="6" t="s">
        <v>4</v>
      </c>
      <c r="D204" s="6" t="s">
        <v>9</v>
      </c>
      <c r="E204" s="7">
        <v>98.199999999999989</v>
      </c>
      <c r="F204" s="6" t="s">
        <v>10</v>
      </c>
      <c r="G204" s="6" t="s">
        <v>11</v>
      </c>
      <c r="H204" s="12">
        <f t="shared" si="29"/>
        <v>98199999.999999985</v>
      </c>
      <c r="I204" s="21" t="s">
        <v>69</v>
      </c>
      <c r="J204" s="24"/>
      <c r="K204" s="24"/>
      <c r="L204" s="24"/>
      <c r="M204" s="24"/>
      <c r="N204" s="24"/>
      <c r="O204" s="24"/>
      <c r="P204" s="24"/>
      <c r="Q204" s="24"/>
      <c r="R204" s="24"/>
      <c r="S204" s="7">
        <f t="shared" si="30"/>
        <v>2868.9797759999992</v>
      </c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ht="16.5" customHeight="1" thickBot="1">
      <c r="A205" s="4" t="s">
        <v>227</v>
      </c>
      <c r="B205" s="5">
        <v>45627</v>
      </c>
      <c r="C205" s="6" t="s">
        <v>4</v>
      </c>
      <c r="D205" s="6" t="s">
        <v>9</v>
      </c>
      <c r="E205" s="7">
        <v>124.45</v>
      </c>
      <c r="F205" s="6" t="s">
        <v>10</v>
      </c>
      <c r="G205" s="6" t="s">
        <v>11</v>
      </c>
      <c r="H205" s="12">
        <f t="shared" si="29"/>
        <v>124450000</v>
      </c>
      <c r="I205" s="21" t="s">
        <v>69</v>
      </c>
      <c r="J205" s="25"/>
      <c r="K205" s="25"/>
      <c r="L205" s="25"/>
      <c r="M205" s="25"/>
      <c r="N205" s="25"/>
      <c r="O205" s="25"/>
      <c r="P205" s="25"/>
      <c r="Q205" s="25"/>
      <c r="R205" s="25"/>
      <c r="S205" s="7">
        <f t="shared" si="30"/>
        <v>3635.891376</v>
      </c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ht="16.5" customHeight="1" thickBot="1">
      <c r="A206" s="4" t="s">
        <v>228</v>
      </c>
      <c r="B206" s="5">
        <v>45292</v>
      </c>
      <c r="C206" s="6" t="s">
        <v>4</v>
      </c>
      <c r="D206" s="6" t="s">
        <v>83</v>
      </c>
      <c r="E206" s="7">
        <v>15497.5</v>
      </c>
      <c r="F206" s="6" t="s">
        <v>1</v>
      </c>
      <c r="G206" s="6" t="s">
        <v>11</v>
      </c>
      <c r="H206" s="14">
        <f t="shared" ref="H206:H217" si="31">E206/1000</f>
        <v>15.4975</v>
      </c>
      <c r="I206" s="22" t="s">
        <v>84</v>
      </c>
      <c r="J206" s="26"/>
      <c r="K206" s="26"/>
      <c r="L206" s="26"/>
      <c r="M206" s="36">
        <v>59510</v>
      </c>
      <c r="N206" s="39">
        <v>1.8320000000000001</v>
      </c>
      <c r="O206" s="40">
        <v>0.44</v>
      </c>
      <c r="P206" s="23">
        <v>1</v>
      </c>
      <c r="Q206" s="23">
        <v>21</v>
      </c>
      <c r="R206" s="23">
        <v>310</v>
      </c>
      <c r="S206" s="7">
        <f t="shared" ref="S206:S217" si="32">((H206*$M$206*$P$206)+(H206*$N$206*$Q$206)+(H206*$O$206*$R$206))*10^-6</f>
        <v>0.92496630382</v>
      </c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ht="16.5" customHeight="1" thickBot="1">
      <c r="A207" s="15" t="s">
        <v>229</v>
      </c>
      <c r="B207" s="5">
        <v>45323</v>
      </c>
      <c r="C207" s="6" t="s">
        <v>4</v>
      </c>
      <c r="D207" s="6" t="s">
        <v>83</v>
      </c>
      <c r="E207" s="7">
        <v>14913</v>
      </c>
      <c r="F207" s="6" t="s">
        <v>1</v>
      </c>
      <c r="G207" s="6" t="s">
        <v>11</v>
      </c>
      <c r="H207" s="14">
        <f t="shared" si="31"/>
        <v>14.913</v>
      </c>
      <c r="I207" s="22" t="s">
        <v>84</v>
      </c>
      <c r="J207" s="24"/>
      <c r="K207" s="24"/>
      <c r="L207" s="24"/>
      <c r="M207" s="37"/>
      <c r="N207" s="37"/>
      <c r="O207" s="24"/>
      <c r="P207" s="24"/>
      <c r="Q207" s="24"/>
      <c r="R207" s="24"/>
      <c r="S207" s="7">
        <f t="shared" si="32"/>
        <v>0.89008049613600004</v>
      </c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ht="16.5" customHeight="1" thickBot="1">
      <c r="A208" s="15" t="s">
        <v>230</v>
      </c>
      <c r="B208" s="5">
        <v>45352</v>
      </c>
      <c r="C208" s="6" t="s">
        <v>4</v>
      </c>
      <c r="D208" s="6" t="s">
        <v>83</v>
      </c>
      <c r="E208" s="7">
        <v>14985</v>
      </c>
      <c r="F208" s="6" t="s">
        <v>1</v>
      </c>
      <c r="G208" s="6" t="s">
        <v>11</v>
      </c>
      <c r="H208" s="14">
        <f t="shared" si="31"/>
        <v>14.984999999999999</v>
      </c>
      <c r="I208" s="22" t="s">
        <v>84</v>
      </c>
      <c r="J208" s="24"/>
      <c r="K208" s="24"/>
      <c r="L208" s="24"/>
      <c r="M208" s="37"/>
      <c r="N208" s="37"/>
      <c r="O208" s="24"/>
      <c r="P208" s="24"/>
      <c r="Q208" s="24"/>
      <c r="R208" s="24"/>
      <c r="S208" s="7">
        <f t="shared" si="32"/>
        <v>0.89437780691999991</v>
      </c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16.5" customHeight="1" thickBot="1">
      <c r="A209" s="15" t="s">
        <v>231</v>
      </c>
      <c r="B209" s="5">
        <v>45383</v>
      </c>
      <c r="C209" s="6" t="s">
        <v>4</v>
      </c>
      <c r="D209" s="6" t="s">
        <v>83</v>
      </c>
      <c r="E209" s="7">
        <v>14408</v>
      </c>
      <c r="F209" s="6" t="s">
        <v>1</v>
      </c>
      <c r="G209" s="6" t="s">
        <v>11</v>
      </c>
      <c r="H209" s="14">
        <f t="shared" si="31"/>
        <v>14.407999999999999</v>
      </c>
      <c r="I209" s="22" t="s">
        <v>84</v>
      </c>
      <c r="J209" s="24"/>
      <c r="K209" s="24"/>
      <c r="L209" s="24"/>
      <c r="M209" s="37"/>
      <c r="N209" s="37"/>
      <c r="O209" s="24"/>
      <c r="P209" s="24"/>
      <c r="Q209" s="24"/>
      <c r="R209" s="24"/>
      <c r="S209" s="7">
        <f t="shared" si="32"/>
        <v>0.85993963577599997</v>
      </c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ht="16.5" customHeight="1" thickBot="1">
      <c r="A210" s="15" t="s">
        <v>232</v>
      </c>
      <c r="B210" s="5">
        <v>45413</v>
      </c>
      <c r="C210" s="6" t="s">
        <v>4</v>
      </c>
      <c r="D210" s="6" t="s">
        <v>83</v>
      </c>
      <c r="E210" s="7">
        <v>14480.5</v>
      </c>
      <c r="F210" s="6" t="s">
        <v>1</v>
      </c>
      <c r="G210" s="6" t="s">
        <v>11</v>
      </c>
      <c r="H210" s="14">
        <f t="shared" si="31"/>
        <v>14.480499999999999</v>
      </c>
      <c r="I210" s="22" t="s">
        <v>84</v>
      </c>
      <c r="J210" s="24"/>
      <c r="K210" s="24"/>
      <c r="L210" s="24"/>
      <c r="M210" s="37"/>
      <c r="N210" s="37"/>
      <c r="O210" s="24"/>
      <c r="P210" s="24"/>
      <c r="Q210" s="24"/>
      <c r="R210" s="24"/>
      <c r="S210" s="7">
        <f t="shared" si="32"/>
        <v>0.86426678899599996</v>
      </c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ht="16.5" customHeight="1" thickBot="1">
      <c r="A211" s="15" t="s">
        <v>233</v>
      </c>
      <c r="B211" s="5">
        <v>45444</v>
      </c>
      <c r="C211" s="6" t="s">
        <v>4</v>
      </c>
      <c r="D211" s="6" t="s">
        <v>83</v>
      </c>
      <c r="E211" s="7">
        <v>16564.5</v>
      </c>
      <c r="F211" s="6" t="s">
        <v>1</v>
      </c>
      <c r="G211" s="6" t="s">
        <v>11</v>
      </c>
      <c r="H211" s="14">
        <f t="shared" si="31"/>
        <v>16.564499999999999</v>
      </c>
      <c r="I211" s="22" t="s">
        <v>84</v>
      </c>
      <c r="J211" s="24"/>
      <c r="K211" s="24"/>
      <c r="L211" s="24"/>
      <c r="M211" s="37"/>
      <c r="N211" s="37"/>
      <c r="O211" s="24"/>
      <c r="P211" s="24"/>
      <c r="Q211" s="24"/>
      <c r="R211" s="24"/>
      <c r="S211" s="7">
        <f t="shared" si="32"/>
        <v>0.98865006224399987</v>
      </c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ht="16.5" customHeight="1" thickBot="1">
      <c r="A212" s="15" t="s">
        <v>234</v>
      </c>
      <c r="B212" s="5">
        <v>45474</v>
      </c>
      <c r="C212" s="6" t="s">
        <v>4</v>
      </c>
      <c r="D212" s="6" t="s">
        <v>83</v>
      </c>
      <c r="E212" s="7">
        <v>16071</v>
      </c>
      <c r="F212" s="6" t="s">
        <v>1</v>
      </c>
      <c r="G212" s="6" t="s">
        <v>11</v>
      </c>
      <c r="H212" s="14">
        <f t="shared" si="31"/>
        <v>16.071000000000002</v>
      </c>
      <c r="I212" s="22" t="s">
        <v>84</v>
      </c>
      <c r="J212" s="24"/>
      <c r="K212" s="24"/>
      <c r="L212" s="24"/>
      <c r="M212" s="37"/>
      <c r="N212" s="37"/>
      <c r="O212" s="24"/>
      <c r="P212" s="24"/>
      <c r="Q212" s="24"/>
      <c r="R212" s="24"/>
      <c r="S212" s="7">
        <f t="shared" si="32"/>
        <v>0.95919557791200005</v>
      </c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ht="16.5" customHeight="1" thickBot="1">
      <c r="A213" s="15" t="s">
        <v>235</v>
      </c>
      <c r="B213" s="5">
        <v>45505</v>
      </c>
      <c r="C213" s="6" t="s">
        <v>4</v>
      </c>
      <c r="D213" s="6" t="s">
        <v>83</v>
      </c>
      <c r="E213" s="7">
        <v>16088</v>
      </c>
      <c r="F213" s="6" t="s">
        <v>1</v>
      </c>
      <c r="G213" s="6" t="s">
        <v>11</v>
      </c>
      <c r="H213" s="14">
        <f t="shared" si="31"/>
        <v>16.088000000000001</v>
      </c>
      <c r="I213" s="22" t="s">
        <v>84</v>
      </c>
      <c r="J213" s="24"/>
      <c r="K213" s="24"/>
      <c r="L213" s="24"/>
      <c r="M213" s="37"/>
      <c r="N213" s="37"/>
      <c r="O213" s="24"/>
      <c r="P213" s="24"/>
      <c r="Q213" s="24"/>
      <c r="R213" s="24"/>
      <c r="S213" s="7">
        <f t="shared" si="32"/>
        <v>0.96021022073599993</v>
      </c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ht="16.5" customHeight="1" thickBot="1">
      <c r="A214" s="15" t="s">
        <v>236</v>
      </c>
      <c r="B214" s="5">
        <v>45536</v>
      </c>
      <c r="C214" s="6" t="s">
        <v>4</v>
      </c>
      <c r="D214" s="6" t="s">
        <v>83</v>
      </c>
      <c r="E214" s="7">
        <v>14527</v>
      </c>
      <c r="F214" s="6" t="s">
        <v>1</v>
      </c>
      <c r="G214" s="6" t="s">
        <v>11</v>
      </c>
      <c r="H214" s="14">
        <f t="shared" si="31"/>
        <v>14.526999999999999</v>
      </c>
      <c r="I214" s="22" t="s">
        <v>84</v>
      </c>
      <c r="J214" s="24"/>
      <c r="K214" s="24"/>
      <c r="L214" s="24"/>
      <c r="M214" s="37"/>
      <c r="N214" s="37"/>
      <c r="O214" s="24"/>
      <c r="P214" s="24"/>
      <c r="Q214" s="24"/>
      <c r="R214" s="24"/>
      <c r="S214" s="7">
        <f t="shared" si="32"/>
        <v>0.86704213554399978</v>
      </c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ht="16.5" customHeight="1" thickBot="1">
      <c r="A215" s="15" t="s">
        <v>237</v>
      </c>
      <c r="B215" s="5">
        <v>45566</v>
      </c>
      <c r="C215" s="6" t="s">
        <v>4</v>
      </c>
      <c r="D215" s="6" t="s">
        <v>83</v>
      </c>
      <c r="E215" s="7">
        <v>16296.5</v>
      </c>
      <c r="F215" s="6" t="s">
        <v>1</v>
      </c>
      <c r="G215" s="6" t="s">
        <v>11</v>
      </c>
      <c r="H215" s="14">
        <f t="shared" si="31"/>
        <v>16.296500000000002</v>
      </c>
      <c r="I215" s="22" t="s">
        <v>84</v>
      </c>
      <c r="J215" s="24"/>
      <c r="K215" s="24"/>
      <c r="L215" s="24"/>
      <c r="M215" s="37"/>
      <c r="N215" s="37"/>
      <c r="O215" s="24"/>
      <c r="P215" s="24"/>
      <c r="Q215" s="24"/>
      <c r="R215" s="24"/>
      <c r="S215" s="7">
        <f t="shared" si="32"/>
        <v>0.97265451654799995</v>
      </c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ht="16.5" customHeight="1" thickBot="1">
      <c r="A216" s="15" t="s">
        <v>238</v>
      </c>
      <c r="B216" s="5">
        <v>45597</v>
      </c>
      <c r="C216" s="6" t="s">
        <v>4</v>
      </c>
      <c r="D216" s="6" t="s">
        <v>83</v>
      </c>
      <c r="E216" s="7">
        <v>14569.5</v>
      </c>
      <c r="F216" s="6" t="s">
        <v>1</v>
      </c>
      <c r="G216" s="6" t="s">
        <v>11</v>
      </c>
      <c r="H216" s="14">
        <f t="shared" si="31"/>
        <v>14.5695</v>
      </c>
      <c r="I216" s="22" t="s">
        <v>84</v>
      </c>
      <c r="J216" s="24"/>
      <c r="K216" s="24"/>
      <c r="L216" s="24"/>
      <c r="M216" s="37"/>
      <c r="N216" s="37"/>
      <c r="O216" s="24"/>
      <c r="P216" s="24"/>
      <c r="Q216" s="24"/>
      <c r="R216" s="24"/>
      <c r="S216" s="7">
        <f t="shared" si="32"/>
        <v>0.86957874260399992</v>
      </c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16.5" customHeight="1" thickBot="1">
      <c r="A217" s="15" t="s">
        <v>239</v>
      </c>
      <c r="B217" s="16">
        <v>45627</v>
      </c>
      <c r="C217" s="10" t="s">
        <v>4</v>
      </c>
      <c r="D217" s="10" t="s">
        <v>83</v>
      </c>
      <c r="E217" s="7">
        <v>14758</v>
      </c>
      <c r="F217" s="10" t="s">
        <v>1</v>
      </c>
      <c r="G217" s="10" t="s">
        <v>11</v>
      </c>
      <c r="H217" s="14">
        <f t="shared" si="31"/>
        <v>14.757999999999999</v>
      </c>
      <c r="I217" s="22" t="s">
        <v>84</v>
      </c>
      <c r="J217" s="25"/>
      <c r="K217" s="25"/>
      <c r="L217" s="25"/>
      <c r="M217" s="38"/>
      <c r="N217" s="38"/>
      <c r="O217" s="25"/>
      <c r="P217" s="25"/>
      <c r="Q217" s="25"/>
      <c r="R217" s="25"/>
      <c r="S217" s="7">
        <f t="shared" si="32"/>
        <v>0.88082934097599996</v>
      </c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ht="16.5" customHeight="1" thickBot="1">
      <c r="A218" s="4" t="s">
        <v>240</v>
      </c>
      <c r="B218" s="5">
        <v>45292</v>
      </c>
      <c r="C218" s="6" t="s">
        <v>5</v>
      </c>
      <c r="D218" s="6" t="s">
        <v>331</v>
      </c>
      <c r="E218" s="7">
        <v>115774</v>
      </c>
      <c r="F218" s="6" t="s">
        <v>1</v>
      </c>
      <c r="G218" s="6" t="s">
        <v>2</v>
      </c>
      <c r="H218" s="9">
        <f t="shared" ref="H218:H229" si="33">E218/$J$218</f>
        <v>2686.1716937354986</v>
      </c>
      <c r="I218" s="17" t="s">
        <v>14</v>
      </c>
      <c r="J218" s="41">
        <v>43.1</v>
      </c>
      <c r="K218" s="26">
        <v>38.9</v>
      </c>
      <c r="L218" s="26" t="s">
        <v>15</v>
      </c>
      <c r="M218" s="35">
        <v>56100</v>
      </c>
      <c r="N218" s="26">
        <v>1</v>
      </c>
      <c r="O218" s="26">
        <v>0.1</v>
      </c>
      <c r="P218" s="23">
        <v>1</v>
      </c>
      <c r="Q218" s="23">
        <v>21</v>
      </c>
      <c r="R218" s="23">
        <v>310</v>
      </c>
      <c r="S218" s="7">
        <f t="shared" ref="S218:S229" si="34">((H218*$K$218*$M$218*$P$218)+(H218*$K$218*$N$218*$Q$218)+(H218*$K$218*$O$218*$R$218))*10^-6</f>
        <v>5867.4392136241295</v>
      </c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ht="16.5" customHeight="1" thickBot="1">
      <c r="A219" s="4" t="s">
        <v>241</v>
      </c>
      <c r="B219" s="5">
        <v>45323</v>
      </c>
      <c r="C219" s="6" t="s">
        <v>5</v>
      </c>
      <c r="D219" s="6" t="s">
        <v>331</v>
      </c>
      <c r="E219" s="7">
        <v>97142.5</v>
      </c>
      <c r="F219" s="6" t="s">
        <v>1</v>
      </c>
      <c r="G219" s="6" t="s">
        <v>2</v>
      </c>
      <c r="H219" s="9">
        <f t="shared" si="33"/>
        <v>2253.8863109048725</v>
      </c>
      <c r="I219" s="17" t="s">
        <v>14</v>
      </c>
      <c r="J219" s="37"/>
      <c r="K219" s="24"/>
      <c r="L219" s="24"/>
      <c r="M219" s="24"/>
      <c r="N219" s="24"/>
      <c r="O219" s="24"/>
      <c r="P219" s="24"/>
      <c r="Q219" s="24"/>
      <c r="R219" s="24"/>
      <c r="S219" s="7">
        <f t="shared" si="34"/>
        <v>4923.1927186542916</v>
      </c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ht="16.5" customHeight="1" thickBot="1">
      <c r="A220" s="4" t="s">
        <v>242</v>
      </c>
      <c r="B220" s="5">
        <v>45352</v>
      </c>
      <c r="C220" s="6" t="s">
        <v>5</v>
      </c>
      <c r="D220" s="6" t="s">
        <v>331</v>
      </c>
      <c r="E220" s="7">
        <v>102695.5</v>
      </c>
      <c r="F220" s="6" t="s">
        <v>1</v>
      </c>
      <c r="G220" s="6" t="s">
        <v>2</v>
      </c>
      <c r="H220" s="9">
        <f t="shared" si="33"/>
        <v>2382.7262180974476</v>
      </c>
      <c r="I220" s="17" t="s">
        <v>14</v>
      </c>
      <c r="J220" s="37"/>
      <c r="K220" s="24"/>
      <c r="L220" s="24"/>
      <c r="M220" s="24"/>
      <c r="N220" s="24"/>
      <c r="O220" s="24"/>
      <c r="P220" s="24"/>
      <c r="Q220" s="24"/>
      <c r="R220" s="24"/>
      <c r="S220" s="7">
        <f t="shared" si="34"/>
        <v>5204.6193770858454</v>
      </c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ht="16.5" customHeight="1" thickBot="1">
      <c r="A221" s="4" t="s">
        <v>243</v>
      </c>
      <c r="B221" s="5">
        <v>45383</v>
      </c>
      <c r="C221" s="6" t="s">
        <v>5</v>
      </c>
      <c r="D221" s="6" t="s">
        <v>331</v>
      </c>
      <c r="E221" s="7">
        <v>120642.5</v>
      </c>
      <c r="F221" s="6" t="s">
        <v>1</v>
      </c>
      <c r="G221" s="6" t="s">
        <v>2</v>
      </c>
      <c r="H221" s="9">
        <f t="shared" si="33"/>
        <v>2799.1299303944315</v>
      </c>
      <c r="I221" s="17" t="s">
        <v>14</v>
      </c>
      <c r="J221" s="37"/>
      <c r="K221" s="24"/>
      <c r="L221" s="24"/>
      <c r="M221" s="24"/>
      <c r="N221" s="24"/>
      <c r="O221" s="24"/>
      <c r="P221" s="24"/>
      <c r="Q221" s="24"/>
      <c r="R221" s="24"/>
      <c r="S221" s="7">
        <f t="shared" si="34"/>
        <v>6114.1753358236656</v>
      </c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ht="16.5" customHeight="1" thickBot="1">
      <c r="A222" s="4" t="s">
        <v>244</v>
      </c>
      <c r="B222" s="5">
        <v>45413</v>
      </c>
      <c r="C222" s="6" t="s">
        <v>5</v>
      </c>
      <c r="D222" s="6" t="s">
        <v>331</v>
      </c>
      <c r="E222" s="7">
        <v>93746.5</v>
      </c>
      <c r="F222" s="6" t="s">
        <v>1</v>
      </c>
      <c r="G222" s="6" t="s">
        <v>2</v>
      </c>
      <c r="H222" s="9">
        <f t="shared" si="33"/>
        <v>2175.092807424594</v>
      </c>
      <c r="I222" s="17" t="s">
        <v>14</v>
      </c>
      <c r="J222" s="37"/>
      <c r="K222" s="24"/>
      <c r="L222" s="24"/>
      <c r="M222" s="24"/>
      <c r="N222" s="24"/>
      <c r="O222" s="24"/>
      <c r="P222" s="24"/>
      <c r="Q222" s="24"/>
      <c r="R222" s="24"/>
      <c r="S222" s="7">
        <f t="shared" si="34"/>
        <v>4751.083060445475</v>
      </c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ht="16.5" customHeight="1" thickBot="1">
      <c r="A223" s="4" t="s">
        <v>245</v>
      </c>
      <c r="B223" s="5">
        <v>45444</v>
      </c>
      <c r="C223" s="6" t="s">
        <v>5</v>
      </c>
      <c r="D223" s="6" t="s">
        <v>331</v>
      </c>
      <c r="E223" s="7">
        <v>114707.5</v>
      </c>
      <c r="F223" s="6" t="s">
        <v>1</v>
      </c>
      <c r="G223" s="6" t="s">
        <v>2</v>
      </c>
      <c r="H223" s="9">
        <f t="shared" si="33"/>
        <v>2661.4269141531322</v>
      </c>
      <c r="I223" s="17" t="s">
        <v>14</v>
      </c>
      <c r="J223" s="37"/>
      <c r="K223" s="24"/>
      <c r="L223" s="24"/>
      <c r="M223" s="24"/>
      <c r="N223" s="24"/>
      <c r="O223" s="24"/>
      <c r="P223" s="24"/>
      <c r="Q223" s="24"/>
      <c r="R223" s="24"/>
      <c r="S223" s="7">
        <f t="shared" si="34"/>
        <v>5813.3888748491872</v>
      </c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ht="16.5" customHeight="1" thickBot="1">
      <c r="A224" s="4" t="s">
        <v>246</v>
      </c>
      <c r="B224" s="5">
        <v>45474</v>
      </c>
      <c r="C224" s="6" t="s">
        <v>5</v>
      </c>
      <c r="D224" s="6" t="s">
        <v>331</v>
      </c>
      <c r="E224" s="7">
        <v>134930</v>
      </c>
      <c r="F224" s="6" t="s">
        <v>1</v>
      </c>
      <c r="G224" s="6" t="s">
        <v>2</v>
      </c>
      <c r="H224" s="9">
        <f t="shared" si="33"/>
        <v>3130.626450116009</v>
      </c>
      <c r="I224" s="17" t="s">
        <v>14</v>
      </c>
      <c r="J224" s="37"/>
      <c r="K224" s="24"/>
      <c r="L224" s="24"/>
      <c r="M224" s="24"/>
      <c r="N224" s="24"/>
      <c r="O224" s="24"/>
      <c r="P224" s="24"/>
      <c r="Q224" s="24"/>
      <c r="R224" s="24"/>
      <c r="S224" s="7">
        <f t="shared" si="34"/>
        <v>6838.2674270069592</v>
      </c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ht="16.5" customHeight="1" thickBot="1">
      <c r="A225" s="4" t="s">
        <v>247</v>
      </c>
      <c r="B225" s="5">
        <v>45505</v>
      </c>
      <c r="C225" s="6" t="s">
        <v>5</v>
      </c>
      <c r="D225" s="6" t="s">
        <v>331</v>
      </c>
      <c r="E225" s="7">
        <v>110677</v>
      </c>
      <c r="F225" s="6" t="s">
        <v>1</v>
      </c>
      <c r="G225" s="6" t="s">
        <v>2</v>
      </c>
      <c r="H225" s="9">
        <f t="shared" si="33"/>
        <v>2567.9118329466355</v>
      </c>
      <c r="I225" s="17" t="s">
        <v>14</v>
      </c>
      <c r="J225" s="37"/>
      <c r="K225" s="24"/>
      <c r="L225" s="24"/>
      <c r="M225" s="24"/>
      <c r="N225" s="24"/>
      <c r="O225" s="24"/>
      <c r="P225" s="24"/>
      <c r="Q225" s="24"/>
      <c r="R225" s="24"/>
      <c r="S225" s="7">
        <f t="shared" si="34"/>
        <v>5609.1226859767976</v>
      </c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ht="16.5" customHeight="1" thickBot="1">
      <c r="A226" s="4" t="s">
        <v>248</v>
      </c>
      <c r="B226" s="5">
        <v>45536</v>
      </c>
      <c r="C226" s="6" t="s">
        <v>5</v>
      </c>
      <c r="D226" s="6" t="s">
        <v>331</v>
      </c>
      <c r="E226" s="7">
        <v>91963.5</v>
      </c>
      <c r="F226" s="6" t="s">
        <v>1</v>
      </c>
      <c r="G226" s="6" t="s">
        <v>2</v>
      </c>
      <c r="H226" s="9">
        <f t="shared" si="33"/>
        <v>2133.7238979118329</v>
      </c>
      <c r="I226" s="17" t="s">
        <v>14</v>
      </c>
      <c r="J226" s="37"/>
      <c r="K226" s="24"/>
      <c r="L226" s="24"/>
      <c r="M226" s="24"/>
      <c r="N226" s="24"/>
      <c r="O226" s="24"/>
      <c r="P226" s="24"/>
      <c r="Q226" s="24"/>
      <c r="R226" s="24"/>
      <c r="S226" s="7">
        <f t="shared" si="34"/>
        <v>4660.7204218747102</v>
      </c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ht="16.5" customHeight="1" thickBot="1">
      <c r="A227" s="4" t="s">
        <v>249</v>
      </c>
      <c r="B227" s="5">
        <v>45566</v>
      </c>
      <c r="C227" s="6" t="s">
        <v>5</v>
      </c>
      <c r="D227" s="6" t="s">
        <v>331</v>
      </c>
      <c r="E227" s="7">
        <v>122554</v>
      </c>
      <c r="F227" s="6" t="s">
        <v>1</v>
      </c>
      <c r="G227" s="6" t="s">
        <v>2</v>
      </c>
      <c r="H227" s="9">
        <f t="shared" si="33"/>
        <v>2843.4802784222738</v>
      </c>
      <c r="I227" s="17" t="s">
        <v>14</v>
      </c>
      <c r="J227" s="37"/>
      <c r="K227" s="24"/>
      <c r="L227" s="24"/>
      <c r="M227" s="24"/>
      <c r="N227" s="24"/>
      <c r="O227" s="24"/>
      <c r="P227" s="24"/>
      <c r="Q227" s="24"/>
      <c r="R227" s="24"/>
      <c r="S227" s="7">
        <f t="shared" si="34"/>
        <v>6211.0503687053351</v>
      </c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ht="16.5" customHeight="1" thickBot="1">
      <c r="A228" s="4" t="s">
        <v>250</v>
      </c>
      <c r="B228" s="5">
        <v>45597</v>
      </c>
      <c r="C228" s="6" t="s">
        <v>5</v>
      </c>
      <c r="D228" s="6" t="s">
        <v>331</v>
      </c>
      <c r="E228" s="7">
        <v>100619.5</v>
      </c>
      <c r="F228" s="6" t="s">
        <v>1</v>
      </c>
      <c r="G228" s="6" t="s">
        <v>2</v>
      </c>
      <c r="H228" s="9">
        <f t="shared" si="33"/>
        <v>2334.5591647331785</v>
      </c>
      <c r="I228" s="17" t="s">
        <v>14</v>
      </c>
      <c r="J228" s="37"/>
      <c r="K228" s="24"/>
      <c r="L228" s="24"/>
      <c r="M228" s="24"/>
      <c r="N228" s="24"/>
      <c r="O228" s="24"/>
      <c r="P228" s="24"/>
      <c r="Q228" s="24"/>
      <c r="R228" s="24"/>
      <c r="S228" s="7">
        <f t="shared" si="34"/>
        <v>5099.40746588399</v>
      </c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ht="16.5" customHeight="1" thickBot="1">
      <c r="A229" s="4" t="s">
        <v>251</v>
      </c>
      <c r="B229" s="5">
        <v>45627</v>
      </c>
      <c r="C229" s="6" t="s">
        <v>5</v>
      </c>
      <c r="D229" s="6" t="s">
        <v>331</v>
      </c>
      <c r="E229" s="7">
        <v>88672.5</v>
      </c>
      <c r="F229" s="6" t="s">
        <v>1</v>
      </c>
      <c r="G229" s="6" t="s">
        <v>2</v>
      </c>
      <c r="H229" s="9">
        <f t="shared" si="33"/>
        <v>2057.3665893271459</v>
      </c>
      <c r="I229" s="17" t="s">
        <v>14</v>
      </c>
      <c r="J229" s="38"/>
      <c r="K229" s="25"/>
      <c r="L229" s="25"/>
      <c r="M229" s="25"/>
      <c r="N229" s="25"/>
      <c r="O229" s="25"/>
      <c r="P229" s="25"/>
      <c r="Q229" s="25"/>
      <c r="R229" s="25"/>
      <c r="S229" s="7">
        <f t="shared" si="34"/>
        <v>4493.9321753596278</v>
      </c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ht="16.5" customHeight="1" thickBot="1">
      <c r="A230" s="4" t="s">
        <v>252</v>
      </c>
      <c r="B230" s="5">
        <v>45292</v>
      </c>
      <c r="C230" s="6" t="s">
        <v>5</v>
      </c>
      <c r="D230" s="6" t="s">
        <v>6</v>
      </c>
      <c r="E230" s="7">
        <v>62</v>
      </c>
      <c r="F230" s="6" t="s">
        <v>1</v>
      </c>
      <c r="G230" s="6" t="s">
        <v>2</v>
      </c>
      <c r="H230" s="11">
        <f t="shared" ref="H230:H241" si="35">E230/$J$230</f>
        <v>1.8960244648318041</v>
      </c>
      <c r="I230" s="18" t="s">
        <v>28</v>
      </c>
      <c r="J230" s="26">
        <v>32.700000000000003</v>
      </c>
      <c r="K230" s="26">
        <v>30.4</v>
      </c>
      <c r="L230" s="26" t="s">
        <v>29</v>
      </c>
      <c r="M230" s="35">
        <v>69300</v>
      </c>
      <c r="N230" s="35">
        <v>25</v>
      </c>
      <c r="O230" s="35">
        <v>8</v>
      </c>
      <c r="P230" s="23">
        <v>1</v>
      </c>
      <c r="Q230" s="23">
        <v>21</v>
      </c>
      <c r="R230" s="23">
        <v>310</v>
      </c>
      <c r="S230" s="7">
        <f t="shared" ref="S230:S241" si="36">((H230*$K$230*$M$230*$P$230)+(H230*$K$230*$N$230*$Q$230)+(H230*$K$230*$O$230*$R$230))*10^-6</f>
        <v>4.1675982874617734</v>
      </c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ht="16.5" customHeight="1" thickBot="1">
      <c r="A231" s="4" t="s">
        <v>253</v>
      </c>
      <c r="B231" s="5">
        <v>45323</v>
      </c>
      <c r="C231" s="6" t="s">
        <v>5</v>
      </c>
      <c r="D231" s="6" t="s">
        <v>6</v>
      </c>
      <c r="E231" s="7">
        <v>72.5</v>
      </c>
      <c r="F231" s="6" t="s">
        <v>1</v>
      </c>
      <c r="G231" s="6" t="s">
        <v>2</v>
      </c>
      <c r="H231" s="11">
        <f t="shared" si="35"/>
        <v>2.2171253822629966</v>
      </c>
      <c r="I231" s="18" t="s">
        <v>28</v>
      </c>
      <c r="J231" s="24"/>
      <c r="K231" s="24"/>
      <c r="L231" s="24"/>
      <c r="M231" s="24"/>
      <c r="N231" s="24"/>
      <c r="O231" s="24"/>
      <c r="P231" s="24"/>
      <c r="Q231" s="24"/>
      <c r="R231" s="24"/>
      <c r="S231" s="7">
        <f t="shared" si="36"/>
        <v>4.8734012232415891</v>
      </c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ht="16.5" customHeight="1" thickBot="1">
      <c r="A232" s="4" t="s">
        <v>254</v>
      </c>
      <c r="B232" s="5">
        <v>45352</v>
      </c>
      <c r="C232" s="6" t="s">
        <v>5</v>
      </c>
      <c r="D232" s="6" t="s">
        <v>6</v>
      </c>
      <c r="E232" s="7">
        <v>56</v>
      </c>
      <c r="F232" s="6" t="s">
        <v>1</v>
      </c>
      <c r="G232" s="6" t="s">
        <v>2</v>
      </c>
      <c r="H232" s="11">
        <f t="shared" si="35"/>
        <v>1.712538226299694</v>
      </c>
      <c r="I232" s="18" t="s">
        <v>28</v>
      </c>
      <c r="J232" s="24"/>
      <c r="K232" s="24"/>
      <c r="L232" s="24"/>
      <c r="M232" s="24"/>
      <c r="N232" s="24"/>
      <c r="O232" s="24"/>
      <c r="P232" s="24"/>
      <c r="Q232" s="24"/>
      <c r="R232" s="24"/>
      <c r="S232" s="7">
        <f t="shared" si="36"/>
        <v>3.7642823241590206</v>
      </c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ht="16.5" customHeight="1" thickBot="1">
      <c r="A233" s="4" t="s">
        <v>255</v>
      </c>
      <c r="B233" s="5">
        <v>45383</v>
      </c>
      <c r="C233" s="6" t="s">
        <v>5</v>
      </c>
      <c r="D233" s="6" t="s">
        <v>6</v>
      </c>
      <c r="E233" s="7">
        <v>67</v>
      </c>
      <c r="F233" s="6" t="s">
        <v>1</v>
      </c>
      <c r="G233" s="6" t="s">
        <v>2</v>
      </c>
      <c r="H233" s="11">
        <f t="shared" si="35"/>
        <v>2.0489296636085625</v>
      </c>
      <c r="I233" s="18" t="s">
        <v>28</v>
      </c>
      <c r="J233" s="24"/>
      <c r="K233" s="24"/>
      <c r="L233" s="24"/>
      <c r="M233" s="24"/>
      <c r="N233" s="24"/>
      <c r="O233" s="24"/>
      <c r="P233" s="24"/>
      <c r="Q233" s="24"/>
      <c r="R233" s="24"/>
      <c r="S233" s="7">
        <f t="shared" si="36"/>
        <v>4.5036949235473998</v>
      </c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ht="16.5" customHeight="1" thickBot="1">
      <c r="A234" s="4" t="s">
        <v>256</v>
      </c>
      <c r="B234" s="5">
        <v>45413</v>
      </c>
      <c r="C234" s="6" t="s">
        <v>5</v>
      </c>
      <c r="D234" s="6" t="s">
        <v>6</v>
      </c>
      <c r="E234" s="7">
        <v>49</v>
      </c>
      <c r="F234" s="6" t="s">
        <v>1</v>
      </c>
      <c r="G234" s="6" t="s">
        <v>2</v>
      </c>
      <c r="H234" s="11">
        <f t="shared" si="35"/>
        <v>1.4984709480122322</v>
      </c>
      <c r="I234" s="18" t="s">
        <v>28</v>
      </c>
      <c r="J234" s="24"/>
      <c r="K234" s="24"/>
      <c r="L234" s="24"/>
      <c r="M234" s="24"/>
      <c r="N234" s="24"/>
      <c r="O234" s="24"/>
      <c r="P234" s="24"/>
      <c r="Q234" s="24"/>
      <c r="R234" s="24"/>
      <c r="S234" s="7">
        <f t="shared" si="36"/>
        <v>3.2937470336391432</v>
      </c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ht="16.5" customHeight="1" thickBot="1">
      <c r="A235" s="4" t="s">
        <v>257</v>
      </c>
      <c r="B235" s="5">
        <v>45444</v>
      </c>
      <c r="C235" s="6" t="s">
        <v>5</v>
      </c>
      <c r="D235" s="6" t="s">
        <v>6</v>
      </c>
      <c r="E235" s="7">
        <v>77</v>
      </c>
      <c r="F235" s="6" t="s">
        <v>1</v>
      </c>
      <c r="G235" s="6" t="s">
        <v>2</v>
      </c>
      <c r="H235" s="11">
        <f t="shared" si="35"/>
        <v>2.3547400611620795</v>
      </c>
      <c r="I235" s="18" t="s">
        <v>28</v>
      </c>
      <c r="J235" s="24"/>
      <c r="K235" s="24"/>
      <c r="L235" s="24"/>
      <c r="M235" s="24"/>
      <c r="N235" s="24"/>
      <c r="O235" s="24"/>
      <c r="P235" s="24"/>
      <c r="Q235" s="24"/>
      <c r="R235" s="24"/>
      <c r="S235" s="7">
        <f t="shared" si="36"/>
        <v>5.1758881957186542</v>
      </c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ht="16.5" customHeight="1" thickBot="1">
      <c r="A236" s="4" t="s">
        <v>258</v>
      </c>
      <c r="B236" s="5">
        <v>45474</v>
      </c>
      <c r="C236" s="6" t="s">
        <v>5</v>
      </c>
      <c r="D236" s="6" t="s">
        <v>6</v>
      </c>
      <c r="E236" s="7">
        <v>57</v>
      </c>
      <c r="F236" s="6" t="s">
        <v>1</v>
      </c>
      <c r="G236" s="6" t="s">
        <v>2</v>
      </c>
      <c r="H236" s="11">
        <f t="shared" si="35"/>
        <v>1.7431192660550456</v>
      </c>
      <c r="I236" s="18" t="s">
        <v>28</v>
      </c>
      <c r="J236" s="24"/>
      <c r="K236" s="24"/>
      <c r="L236" s="24"/>
      <c r="M236" s="24"/>
      <c r="N236" s="24"/>
      <c r="O236" s="24"/>
      <c r="P236" s="24"/>
      <c r="Q236" s="24"/>
      <c r="R236" s="24"/>
      <c r="S236" s="7">
        <f t="shared" si="36"/>
        <v>3.8315016513761462</v>
      </c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ht="16.5" customHeight="1" thickBot="1">
      <c r="A237" s="4" t="s">
        <v>259</v>
      </c>
      <c r="B237" s="5">
        <v>45505</v>
      </c>
      <c r="C237" s="6" t="s">
        <v>5</v>
      </c>
      <c r="D237" s="6" t="s">
        <v>6</v>
      </c>
      <c r="E237" s="7">
        <v>60.5</v>
      </c>
      <c r="F237" s="6" t="s">
        <v>1</v>
      </c>
      <c r="G237" s="6" t="s">
        <v>2</v>
      </c>
      <c r="H237" s="11">
        <f t="shared" si="35"/>
        <v>1.8501529051987766</v>
      </c>
      <c r="I237" s="18" t="s">
        <v>28</v>
      </c>
      <c r="J237" s="24"/>
      <c r="K237" s="24"/>
      <c r="L237" s="24"/>
      <c r="M237" s="24"/>
      <c r="N237" s="24"/>
      <c r="O237" s="24"/>
      <c r="P237" s="24"/>
      <c r="Q237" s="24"/>
      <c r="R237" s="24"/>
      <c r="S237" s="7">
        <f t="shared" si="36"/>
        <v>4.0667692966360853</v>
      </c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ht="16.5" customHeight="1" thickBot="1">
      <c r="A238" s="4" t="s">
        <v>260</v>
      </c>
      <c r="B238" s="5">
        <v>45536</v>
      </c>
      <c r="C238" s="6" t="s">
        <v>5</v>
      </c>
      <c r="D238" s="6" t="s">
        <v>6</v>
      </c>
      <c r="E238" s="7">
        <v>81</v>
      </c>
      <c r="F238" s="6" t="s">
        <v>1</v>
      </c>
      <c r="G238" s="6" t="s">
        <v>2</v>
      </c>
      <c r="H238" s="11">
        <f t="shared" si="35"/>
        <v>2.477064220183486</v>
      </c>
      <c r="I238" s="18" t="s">
        <v>28</v>
      </c>
      <c r="J238" s="24"/>
      <c r="K238" s="24"/>
      <c r="L238" s="24"/>
      <c r="M238" s="24"/>
      <c r="N238" s="24"/>
      <c r="O238" s="24"/>
      <c r="P238" s="24"/>
      <c r="Q238" s="24"/>
      <c r="R238" s="24"/>
      <c r="S238" s="7">
        <f t="shared" si="36"/>
        <v>5.4447655045871546</v>
      </c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ht="16.5" customHeight="1" thickBot="1">
      <c r="A239" s="4" t="s">
        <v>261</v>
      </c>
      <c r="B239" s="5">
        <v>45566</v>
      </c>
      <c r="C239" s="6" t="s">
        <v>5</v>
      </c>
      <c r="D239" s="6" t="s">
        <v>6</v>
      </c>
      <c r="E239" s="7">
        <v>69</v>
      </c>
      <c r="F239" s="6" t="s">
        <v>1</v>
      </c>
      <c r="G239" s="6" t="s">
        <v>2</v>
      </c>
      <c r="H239" s="11">
        <f t="shared" si="35"/>
        <v>2.1100917431192658</v>
      </c>
      <c r="I239" s="18" t="s">
        <v>28</v>
      </c>
      <c r="J239" s="24"/>
      <c r="K239" s="24"/>
      <c r="L239" s="24"/>
      <c r="M239" s="24"/>
      <c r="N239" s="24"/>
      <c r="O239" s="24"/>
      <c r="P239" s="24"/>
      <c r="Q239" s="24"/>
      <c r="R239" s="24"/>
      <c r="S239" s="7">
        <f t="shared" si="36"/>
        <v>4.6381335779816517</v>
      </c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ht="16.5" customHeight="1" thickBot="1">
      <c r="A240" s="4" t="s">
        <v>262</v>
      </c>
      <c r="B240" s="5">
        <v>45597</v>
      </c>
      <c r="C240" s="6" t="s">
        <v>5</v>
      </c>
      <c r="D240" s="6" t="s">
        <v>6</v>
      </c>
      <c r="E240" s="7">
        <v>57.5</v>
      </c>
      <c r="F240" s="6" t="s">
        <v>1</v>
      </c>
      <c r="G240" s="6" t="s">
        <v>2</v>
      </c>
      <c r="H240" s="11">
        <f t="shared" si="35"/>
        <v>1.7584097859327215</v>
      </c>
      <c r="I240" s="18" t="s">
        <v>28</v>
      </c>
      <c r="J240" s="24"/>
      <c r="K240" s="24"/>
      <c r="L240" s="24"/>
      <c r="M240" s="24"/>
      <c r="N240" s="24"/>
      <c r="O240" s="24"/>
      <c r="P240" s="24"/>
      <c r="Q240" s="24"/>
      <c r="R240" s="24"/>
      <c r="S240" s="7">
        <f t="shared" si="36"/>
        <v>3.8651113149847087</v>
      </c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ht="16.5" customHeight="1" thickBot="1">
      <c r="A241" s="4" t="s">
        <v>263</v>
      </c>
      <c r="B241" s="5">
        <v>45627</v>
      </c>
      <c r="C241" s="6" t="s">
        <v>5</v>
      </c>
      <c r="D241" s="6" t="s">
        <v>6</v>
      </c>
      <c r="E241" s="7">
        <v>63.5</v>
      </c>
      <c r="F241" s="6" t="s">
        <v>1</v>
      </c>
      <c r="G241" s="6" t="s">
        <v>2</v>
      </c>
      <c r="H241" s="11">
        <f t="shared" si="35"/>
        <v>1.9418960244648316</v>
      </c>
      <c r="I241" s="18" t="s">
        <v>28</v>
      </c>
      <c r="J241" s="25"/>
      <c r="K241" s="25"/>
      <c r="L241" s="25"/>
      <c r="M241" s="25"/>
      <c r="N241" s="25"/>
      <c r="O241" s="25"/>
      <c r="P241" s="25"/>
      <c r="Q241" s="25"/>
      <c r="R241" s="25"/>
      <c r="S241" s="7">
        <f t="shared" si="36"/>
        <v>4.2684272782874606</v>
      </c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ht="16.5" customHeight="1" thickBot="1">
      <c r="A242" s="4" t="s">
        <v>264</v>
      </c>
      <c r="B242" s="5">
        <v>45292</v>
      </c>
      <c r="C242" s="6" t="s">
        <v>5</v>
      </c>
      <c r="D242" s="6" t="s">
        <v>42</v>
      </c>
      <c r="E242" s="7">
        <v>0</v>
      </c>
      <c r="F242" s="6" t="s">
        <v>7</v>
      </c>
      <c r="G242" s="6" t="s">
        <v>2</v>
      </c>
      <c r="H242" s="12">
        <f t="shared" ref="H242:H265" si="37">E242/1000</f>
        <v>0</v>
      </c>
      <c r="I242" s="19" t="s">
        <v>12</v>
      </c>
      <c r="J242" s="26"/>
      <c r="K242" s="26">
        <v>0.9</v>
      </c>
      <c r="L242" s="26" t="s">
        <v>43</v>
      </c>
      <c r="M242" s="27">
        <v>0.2</v>
      </c>
      <c r="N242" s="27" t="s">
        <v>44</v>
      </c>
      <c r="O242" s="30">
        <v>23900</v>
      </c>
      <c r="P242" s="33"/>
      <c r="Q242" s="34"/>
      <c r="R242" s="34"/>
      <c r="S242" s="13">
        <f t="shared" ref="S242:S253" si="38">H242*$K$242*$M$242*$O$242</f>
        <v>0</v>
      </c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ht="16.5" customHeight="1" thickBot="1">
      <c r="A243" s="4" t="s">
        <v>265</v>
      </c>
      <c r="B243" s="5">
        <v>45323</v>
      </c>
      <c r="C243" s="6" t="s">
        <v>5</v>
      </c>
      <c r="D243" s="6" t="s">
        <v>42</v>
      </c>
      <c r="E243" s="7">
        <v>0</v>
      </c>
      <c r="F243" s="6" t="s">
        <v>7</v>
      </c>
      <c r="G243" s="6" t="s">
        <v>2</v>
      </c>
      <c r="H243" s="12">
        <f t="shared" si="37"/>
        <v>0</v>
      </c>
      <c r="I243" s="19" t="s">
        <v>12</v>
      </c>
      <c r="J243" s="24"/>
      <c r="K243" s="24"/>
      <c r="L243" s="24"/>
      <c r="M243" s="28"/>
      <c r="N243" s="28"/>
      <c r="O243" s="31"/>
      <c r="P243" s="31"/>
      <c r="Q243" s="31"/>
      <c r="R243" s="31"/>
      <c r="S243" s="13">
        <f t="shared" si="38"/>
        <v>0</v>
      </c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ht="16.5" customHeight="1" thickBot="1">
      <c r="A244" s="4" t="s">
        <v>266</v>
      </c>
      <c r="B244" s="5">
        <v>45352</v>
      </c>
      <c r="C244" s="6" t="s">
        <v>5</v>
      </c>
      <c r="D244" s="6" t="s">
        <v>42</v>
      </c>
      <c r="E244" s="7">
        <v>0</v>
      </c>
      <c r="F244" s="6" t="s">
        <v>7</v>
      </c>
      <c r="G244" s="6" t="s">
        <v>2</v>
      </c>
      <c r="H244" s="12">
        <f t="shared" si="37"/>
        <v>0</v>
      </c>
      <c r="I244" s="19" t="s">
        <v>12</v>
      </c>
      <c r="J244" s="24"/>
      <c r="K244" s="24"/>
      <c r="L244" s="24"/>
      <c r="M244" s="28"/>
      <c r="N244" s="28"/>
      <c r="O244" s="31"/>
      <c r="P244" s="31"/>
      <c r="Q244" s="31"/>
      <c r="R244" s="31"/>
      <c r="S244" s="13">
        <f t="shared" si="38"/>
        <v>0</v>
      </c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ht="16.5" customHeight="1" thickBot="1">
      <c r="A245" s="4" t="s">
        <v>267</v>
      </c>
      <c r="B245" s="5">
        <v>45383</v>
      </c>
      <c r="C245" s="6" t="s">
        <v>5</v>
      </c>
      <c r="D245" s="6" t="s">
        <v>42</v>
      </c>
      <c r="E245" s="7">
        <v>0</v>
      </c>
      <c r="F245" s="6" t="s">
        <v>7</v>
      </c>
      <c r="G245" s="6" t="s">
        <v>2</v>
      </c>
      <c r="H245" s="12">
        <f t="shared" si="37"/>
        <v>0</v>
      </c>
      <c r="I245" s="19" t="s">
        <v>12</v>
      </c>
      <c r="J245" s="24"/>
      <c r="K245" s="24"/>
      <c r="L245" s="24"/>
      <c r="M245" s="28"/>
      <c r="N245" s="28"/>
      <c r="O245" s="31"/>
      <c r="P245" s="31"/>
      <c r="Q245" s="31"/>
      <c r="R245" s="31"/>
      <c r="S245" s="13">
        <f t="shared" si="38"/>
        <v>0</v>
      </c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ht="16.5" customHeight="1" thickBot="1">
      <c r="A246" s="4" t="s">
        <v>268</v>
      </c>
      <c r="B246" s="5">
        <v>45413</v>
      </c>
      <c r="C246" s="6" t="s">
        <v>5</v>
      </c>
      <c r="D246" s="6" t="s">
        <v>42</v>
      </c>
      <c r="E246" s="7">
        <v>0</v>
      </c>
      <c r="F246" s="6" t="s">
        <v>7</v>
      </c>
      <c r="G246" s="6" t="s">
        <v>2</v>
      </c>
      <c r="H246" s="12">
        <f t="shared" si="37"/>
        <v>0</v>
      </c>
      <c r="I246" s="19" t="s">
        <v>12</v>
      </c>
      <c r="J246" s="24"/>
      <c r="K246" s="24"/>
      <c r="L246" s="24"/>
      <c r="M246" s="28"/>
      <c r="N246" s="28"/>
      <c r="O246" s="31"/>
      <c r="P246" s="31"/>
      <c r="Q246" s="31"/>
      <c r="R246" s="31"/>
      <c r="S246" s="13">
        <f t="shared" si="38"/>
        <v>0</v>
      </c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ht="16.5" customHeight="1" thickBot="1">
      <c r="A247" s="4" t="s">
        <v>269</v>
      </c>
      <c r="B247" s="5">
        <v>45444</v>
      </c>
      <c r="C247" s="6" t="s">
        <v>5</v>
      </c>
      <c r="D247" s="6" t="s">
        <v>42</v>
      </c>
      <c r="E247" s="7">
        <v>0</v>
      </c>
      <c r="F247" s="6" t="s">
        <v>7</v>
      </c>
      <c r="G247" s="6" t="s">
        <v>2</v>
      </c>
      <c r="H247" s="12">
        <f t="shared" si="37"/>
        <v>0</v>
      </c>
      <c r="I247" s="19" t="s">
        <v>12</v>
      </c>
      <c r="J247" s="24"/>
      <c r="K247" s="24"/>
      <c r="L247" s="24"/>
      <c r="M247" s="28"/>
      <c r="N247" s="28"/>
      <c r="O247" s="31"/>
      <c r="P247" s="31"/>
      <c r="Q247" s="31"/>
      <c r="R247" s="31"/>
      <c r="S247" s="13">
        <f t="shared" si="38"/>
        <v>0</v>
      </c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ht="16.5" customHeight="1" thickBot="1">
      <c r="A248" s="4" t="s">
        <v>270</v>
      </c>
      <c r="B248" s="5">
        <v>45474</v>
      </c>
      <c r="C248" s="6" t="s">
        <v>5</v>
      </c>
      <c r="D248" s="6" t="s">
        <v>42</v>
      </c>
      <c r="E248" s="7">
        <v>0</v>
      </c>
      <c r="F248" s="6" t="s">
        <v>7</v>
      </c>
      <c r="G248" s="6" t="s">
        <v>2</v>
      </c>
      <c r="H248" s="12">
        <f t="shared" si="37"/>
        <v>0</v>
      </c>
      <c r="I248" s="19" t="s">
        <v>12</v>
      </c>
      <c r="J248" s="24"/>
      <c r="K248" s="24"/>
      <c r="L248" s="24"/>
      <c r="M248" s="28"/>
      <c r="N248" s="28"/>
      <c r="O248" s="31"/>
      <c r="P248" s="31"/>
      <c r="Q248" s="31"/>
      <c r="R248" s="31"/>
      <c r="S248" s="13">
        <f t="shared" si="38"/>
        <v>0</v>
      </c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ht="16.5" customHeight="1" thickBot="1">
      <c r="A249" s="4" t="s">
        <v>271</v>
      </c>
      <c r="B249" s="5">
        <v>45505</v>
      </c>
      <c r="C249" s="6" t="s">
        <v>5</v>
      </c>
      <c r="D249" s="6" t="s">
        <v>42</v>
      </c>
      <c r="E249" s="7">
        <v>0</v>
      </c>
      <c r="F249" s="6" t="s">
        <v>7</v>
      </c>
      <c r="G249" s="6" t="s">
        <v>2</v>
      </c>
      <c r="H249" s="12">
        <f t="shared" si="37"/>
        <v>0</v>
      </c>
      <c r="I249" s="19" t="s">
        <v>12</v>
      </c>
      <c r="J249" s="24"/>
      <c r="K249" s="24"/>
      <c r="L249" s="24"/>
      <c r="M249" s="28"/>
      <c r="N249" s="28"/>
      <c r="O249" s="31"/>
      <c r="P249" s="31"/>
      <c r="Q249" s="31"/>
      <c r="R249" s="31"/>
      <c r="S249" s="13">
        <f t="shared" si="38"/>
        <v>0</v>
      </c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ht="16.5" customHeight="1" thickBot="1">
      <c r="A250" s="4" t="s">
        <v>272</v>
      </c>
      <c r="B250" s="5">
        <v>45536</v>
      </c>
      <c r="C250" s="6" t="s">
        <v>5</v>
      </c>
      <c r="D250" s="6" t="s">
        <v>42</v>
      </c>
      <c r="E250" s="7">
        <v>0</v>
      </c>
      <c r="F250" s="6" t="s">
        <v>7</v>
      </c>
      <c r="G250" s="6" t="s">
        <v>2</v>
      </c>
      <c r="H250" s="12">
        <f t="shared" si="37"/>
        <v>0</v>
      </c>
      <c r="I250" s="19" t="s">
        <v>12</v>
      </c>
      <c r="J250" s="24"/>
      <c r="K250" s="24"/>
      <c r="L250" s="24"/>
      <c r="M250" s="28"/>
      <c r="N250" s="28"/>
      <c r="O250" s="31"/>
      <c r="P250" s="31"/>
      <c r="Q250" s="31"/>
      <c r="R250" s="31"/>
      <c r="S250" s="13">
        <f t="shared" si="38"/>
        <v>0</v>
      </c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ht="16.5" customHeight="1" thickBot="1">
      <c r="A251" s="4" t="s">
        <v>273</v>
      </c>
      <c r="B251" s="5">
        <v>45566</v>
      </c>
      <c r="C251" s="6" t="s">
        <v>5</v>
      </c>
      <c r="D251" s="6" t="s">
        <v>42</v>
      </c>
      <c r="E251" s="7">
        <v>0</v>
      </c>
      <c r="F251" s="6" t="s">
        <v>7</v>
      </c>
      <c r="G251" s="6" t="s">
        <v>2</v>
      </c>
      <c r="H251" s="12">
        <f t="shared" si="37"/>
        <v>0</v>
      </c>
      <c r="I251" s="19" t="s">
        <v>12</v>
      </c>
      <c r="J251" s="24"/>
      <c r="K251" s="24"/>
      <c r="L251" s="24"/>
      <c r="M251" s="28"/>
      <c r="N251" s="28"/>
      <c r="O251" s="31"/>
      <c r="P251" s="31"/>
      <c r="Q251" s="31"/>
      <c r="R251" s="31"/>
      <c r="S251" s="13">
        <f t="shared" si="38"/>
        <v>0</v>
      </c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ht="16.5" customHeight="1" thickBot="1">
      <c r="A252" s="4" t="s">
        <v>274</v>
      </c>
      <c r="B252" s="5">
        <v>45597</v>
      </c>
      <c r="C252" s="6" t="s">
        <v>5</v>
      </c>
      <c r="D252" s="6" t="s">
        <v>42</v>
      </c>
      <c r="E252" s="7">
        <v>0</v>
      </c>
      <c r="F252" s="6" t="s">
        <v>7</v>
      </c>
      <c r="G252" s="6" t="s">
        <v>2</v>
      </c>
      <c r="H252" s="12">
        <f t="shared" si="37"/>
        <v>0</v>
      </c>
      <c r="I252" s="19" t="s">
        <v>12</v>
      </c>
      <c r="J252" s="24"/>
      <c r="K252" s="24"/>
      <c r="L252" s="24"/>
      <c r="M252" s="28"/>
      <c r="N252" s="28"/>
      <c r="O252" s="31"/>
      <c r="P252" s="31"/>
      <c r="Q252" s="31"/>
      <c r="R252" s="31"/>
      <c r="S252" s="13">
        <f t="shared" si="38"/>
        <v>0</v>
      </c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ht="16.5" customHeight="1" thickBot="1">
      <c r="A253" s="4" t="s">
        <v>275</v>
      </c>
      <c r="B253" s="5">
        <v>45627</v>
      </c>
      <c r="C253" s="6" t="s">
        <v>5</v>
      </c>
      <c r="D253" s="6" t="s">
        <v>42</v>
      </c>
      <c r="E253" s="7">
        <v>0</v>
      </c>
      <c r="F253" s="6" t="s">
        <v>7</v>
      </c>
      <c r="G253" s="6" t="s">
        <v>2</v>
      </c>
      <c r="H253" s="12">
        <f t="shared" si="37"/>
        <v>0</v>
      </c>
      <c r="I253" s="19" t="s">
        <v>12</v>
      </c>
      <c r="J253" s="25"/>
      <c r="K253" s="25"/>
      <c r="L253" s="25"/>
      <c r="M253" s="29"/>
      <c r="N253" s="28"/>
      <c r="O253" s="32"/>
      <c r="P253" s="31"/>
      <c r="Q253" s="31"/>
      <c r="R253" s="31"/>
      <c r="S253" s="13">
        <f t="shared" si="38"/>
        <v>0</v>
      </c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ht="16.5" customHeight="1" thickBot="1">
      <c r="A254" s="4" t="s">
        <v>276</v>
      </c>
      <c r="B254" s="5">
        <v>45292</v>
      </c>
      <c r="C254" s="6" t="s">
        <v>5</v>
      </c>
      <c r="D254" s="6" t="s">
        <v>8</v>
      </c>
      <c r="E254" s="7">
        <v>0</v>
      </c>
      <c r="F254" s="6" t="s">
        <v>7</v>
      </c>
      <c r="G254" s="6" t="s">
        <v>2</v>
      </c>
      <c r="H254" s="14">
        <f t="shared" si="37"/>
        <v>0</v>
      </c>
      <c r="I254" s="19" t="s">
        <v>12</v>
      </c>
      <c r="J254" s="26"/>
      <c r="K254" s="26">
        <v>0.9</v>
      </c>
      <c r="L254" s="26" t="s">
        <v>43</v>
      </c>
      <c r="M254" s="27">
        <v>0.4</v>
      </c>
      <c r="N254" s="27" t="s">
        <v>44</v>
      </c>
      <c r="O254" s="30">
        <v>11700</v>
      </c>
      <c r="P254" s="33"/>
      <c r="Q254" s="34"/>
      <c r="R254" s="34"/>
      <c r="S254" s="7">
        <f t="shared" ref="S254:S265" si="39">H254*$K$254*$M$254*$O$254</f>
        <v>0</v>
      </c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ht="16.5" customHeight="1" thickBot="1">
      <c r="A255" s="4" t="s">
        <v>277</v>
      </c>
      <c r="B255" s="5">
        <v>45323</v>
      </c>
      <c r="C255" s="6" t="s">
        <v>5</v>
      </c>
      <c r="D255" s="6" t="s">
        <v>8</v>
      </c>
      <c r="E255" s="7">
        <v>0</v>
      </c>
      <c r="F255" s="6" t="s">
        <v>7</v>
      </c>
      <c r="G255" s="6" t="s">
        <v>2</v>
      </c>
      <c r="H255" s="14">
        <f t="shared" si="37"/>
        <v>0</v>
      </c>
      <c r="I255" s="19" t="s">
        <v>12</v>
      </c>
      <c r="J255" s="24"/>
      <c r="K255" s="24"/>
      <c r="L255" s="24"/>
      <c r="M255" s="28"/>
      <c r="N255" s="28"/>
      <c r="O255" s="31"/>
      <c r="P255" s="31"/>
      <c r="Q255" s="31"/>
      <c r="R255" s="31"/>
      <c r="S255" s="7">
        <f t="shared" si="39"/>
        <v>0</v>
      </c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16.5" customHeight="1" thickBot="1">
      <c r="A256" s="4" t="s">
        <v>278</v>
      </c>
      <c r="B256" s="5">
        <v>45352</v>
      </c>
      <c r="C256" s="6" t="s">
        <v>5</v>
      </c>
      <c r="D256" s="6" t="s">
        <v>8</v>
      </c>
      <c r="E256" s="7">
        <v>0</v>
      </c>
      <c r="F256" s="6" t="s">
        <v>7</v>
      </c>
      <c r="G256" s="6" t="s">
        <v>2</v>
      </c>
      <c r="H256" s="14">
        <f t="shared" si="37"/>
        <v>0</v>
      </c>
      <c r="I256" s="19" t="s">
        <v>12</v>
      </c>
      <c r="J256" s="24"/>
      <c r="K256" s="24"/>
      <c r="L256" s="24"/>
      <c r="M256" s="28"/>
      <c r="N256" s="28"/>
      <c r="O256" s="31"/>
      <c r="P256" s="31"/>
      <c r="Q256" s="31"/>
      <c r="R256" s="31"/>
      <c r="S256" s="7">
        <f t="shared" si="39"/>
        <v>0</v>
      </c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ht="16.5" customHeight="1" thickBot="1">
      <c r="A257" s="4" t="s">
        <v>279</v>
      </c>
      <c r="B257" s="5">
        <v>45383</v>
      </c>
      <c r="C257" s="6" t="s">
        <v>5</v>
      </c>
      <c r="D257" s="6" t="s">
        <v>8</v>
      </c>
      <c r="E257" s="7">
        <v>0</v>
      </c>
      <c r="F257" s="6" t="s">
        <v>7</v>
      </c>
      <c r="G257" s="6" t="s">
        <v>2</v>
      </c>
      <c r="H257" s="14">
        <f t="shared" si="37"/>
        <v>0</v>
      </c>
      <c r="I257" s="19" t="s">
        <v>12</v>
      </c>
      <c r="J257" s="24"/>
      <c r="K257" s="24"/>
      <c r="L257" s="24"/>
      <c r="M257" s="28"/>
      <c r="N257" s="28"/>
      <c r="O257" s="31"/>
      <c r="P257" s="31"/>
      <c r="Q257" s="31"/>
      <c r="R257" s="31"/>
      <c r="S257" s="7">
        <f t="shared" si="39"/>
        <v>0</v>
      </c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ht="16.5" customHeight="1" thickBot="1">
      <c r="A258" s="4" t="s">
        <v>280</v>
      </c>
      <c r="B258" s="5">
        <v>45413</v>
      </c>
      <c r="C258" s="6" t="s">
        <v>5</v>
      </c>
      <c r="D258" s="6" t="s">
        <v>8</v>
      </c>
      <c r="E258" s="7">
        <v>0</v>
      </c>
      <c r="F258" s="6" t="s">
        <v>7</v>
      </c>
      <c r="G258" s="6" t="s">
        <v>2</v>
      </c>
      <c r="H258" s="14">
        <f t="shared" si="37"/>
        <v>0</v>
      </c>
      <c r="I258" s="19" t="s">
        <v>12</v>
      </c>
      <c r="J258" s="24"/>
      <c r="K258" s="24"/>
      <c r="L258" s="24"/>
      <c r="M258" s="28"/>
      <c r="N258" s="28"/>
      <c r="O258" s="31"/>
      <c r="P258" s="31"/>
      <c r="Q258" s="31"/>
      <c r="R258" s="31"/>
      <c r="S258" s="7">
        <f t="shared" si="39"/>
        <v>0</v>
      </c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ht="16.5" customHeight="1" thickBot="1">
      <c r="A259" s="4" t="s">
        <v>281</v>
      </c>
      <c r="B259" s="5">
        <v>45444</v>
      </c>
      <c r="C259" s="6" t="s">
        <v>5</v>
      </c>
      <c r="D259" s="6" t="s">
        <v>8</v>
      </c>
      <c r="E259" s="7">
        <v>0</v>
      </c>
      <c r="F259" s="6" t="s">
        <v>7</v>
      </c>
      <c r="G259" s="6" t="s">
        <v>2</v>
      </c>
      <c r="H259" s="14">
        <f t="shared" si="37"/>
        <v>0</v>
      </c>
      <c r="I259" s="19" t="s">
        <v>12</v>
      </c>
      <c r="J259" s="24"/>
      <c r="K259" s="24"/>
      <c r="L259" s="24"/>
      <c r="M259" s="28"/>
      <c r="N259" s="28"/>
      <c r="O259" s="31"/>
      <c r="P259" s="31"/>
      <c r="Q259" s="31"/>
      <c r="R259" s="31"/>
      <c r="S259" s="7">
        <f t="shared" si="39"/>
        <v>0</v>
      </c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ht="16.5" customHeight="1" thickBot="1">
      <c r="A260" s="4" t="s">
        <v>282</v>
      </c>
      <c r="B260" s="5">
        <v>45474</v>
      </c>
      <c r="C260" s="6" t="s">
        <v>5</v>
      </c>
      <c r="D260" s="6" t="s">
        <v>8</v>
      </c>
      <c r="E260" s="7">
        <v>0</v>
      </c>
      <c r="F260" s="6" t="s">
        <v>7</v>
      </c>
      <c r="G260" s="6" t="s">
        <v>2</v>
      </c>
      <c r="H260" s="14">
        <f t="shared" si="37"/>
        <v>0</v>
      </c>
      <c r="I260" s="19" t="s">
        <v>12</v>
      </c>
      <c r="J260" s="24"/>
      <c r="K260" s="24"/>
      <c r="L260" s="24"/>
      <c r="M260" s="28"/>
      <c r="N260" s="28"/>
      <c r="O260" s="31"/>
      <c r="P260" s="31"/>
      <c r="Q260" s="31"/>
      <c r="R260" s="31"/>
      <c r="S260" s="7">
        <f t="shared" si="39"/>
        <v>0</v>
      </c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ht="16.5" customHeight="1" thickBot="1">
      <c r="A261" s="4" t="s">
        <v>283</v>
      </c>
      <c r="B261" s="5">
        <v>45505</v>
      </c>
      <c r="C261" s="6" t="s">
        <v>5</v>
      </c>
      <c r="D261" s="6" t="s">
        <v>8</v>
      </c>
      <c r="E261" s="7">
        <v>0</v>
      </c>
      <c r="F261" s="6" t="s">
        <v>7</v>
      </c>
      <c r="G261" s="6" t="s">
        <v>2</v>
      </c>
      <c r="H261" s="14">
        <f t="shared" si="37"/>
        <v>0</v>
      </c>
      <c r="I261" s="19" t="s">
        <v>12</v>
      </c>
      <c r="J261" s="24"/>
      <c r="K261" s="24"/>
      <c r="L261" s="24"/>
      <c r="M261" s="28"/>
      <c r="N261" s="28"/>
      <c r="O261" s="31"/>
      <c r="P261" s="31"/>
      <c r="Q261" s="31"/>
      <c r="R261" s="31"/>
      <c r="S261" s="7">
        <f t="shared" si="39"/>
        <v>0</v>
      </c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ht="16.5" customHeight="1" thickBot="1">
      <c r="A262" s="4" t="s">
        <v>284</v>
      </c>
      <c r="B262" s="5">
        <v>45536</v>
      </c>
      <c r="C262" s="6" t="s">
        <v>5</v>
      </c>
      <c r="D262" s="6" t="s">
        <v>8</v>
      </c>
      <c r="E262" s="7">
        <v>0</v>
      </c>
      <c r="F262" s="6" t="s">
        <v>7</v>
      </c>
      <c r="G262" s="6" t="s">
        <v>2</v>
      </c>
      <c r="H262" s="14">
        <f t="shared" si="37"/>
        <v>0</v>
      </c>
      <c r="I262" s="19" t="s">
        <v>12</v>
      </c>
      <c r="J262" s="24"/>
      <c r="K262" s="24"/>
      <c r="L262" s="24"/>
      <c r="M262" s="28"/>
      <c r="N262" s="28"/>
      <c r="O262" s="31"/>
      <c r="P262" s="31"/>
      <c r="Q262" s="31"/>
      <c r="R262" s="31"/>
      <c r="S262" s="7">
        <f t="shared" si="39"/>
        <v>0</v>
      </c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ht="16.5" customHeight="1" thickBot="1">
      <c r="A263" s="4" t="s">
        <v>285</v>
      </c>
      <c r="B263" s="5">
        <v>45566</v>
      </c>
      <c r="C263" s="6" t="s">
        <v>5</v>
      </c>
      <c r="D263" s="6" t="s">
        <v>8</v>
      </c>
      <c r="E263" s="7">
        <v>0</v>
      </c>
      <c r="F263" s="6" t="s">
        <v>7</v>
      </c>
      <c r="G263" s="6" t="s">
        <v>2</v>
      </c>
      <c r="H263" s="14">
        <f t="shared" si="37"/>
        <v>0</v>
      </c>
      <c r="I263" s="19" t="s">
        <v>12</v>
      </c>
      <c r="J263" s="24"/>
      <c r="K263" s="24"/>
      <c r="L263" s="24"/>
      <c r="M263" s="28"/>
      <c r="N263" s="28"/>
      <c r="O263" s="31"/>
      <c r="P263" s="31"/>
      <c r="Q263" s="31"/>
      <c r="R263" s="31"/>
      <c r="S263" s="7">
        <f t="shared" si="39"/>
        <v>0</v>
      </c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ht="16.5" customHeight="1" thickBot="1">
      <c r="A264" s="4" t="s">
        <v>286</v>
      </c>
      <c r="B264" s="5">
        <v>45597</v>
      </c>
      <c r="C264" s="6" t="s">
        <v>5</v>
      </c>
      <c r="D264" s="6" t="s">
        <v>8</v>
      </c>
      <c r="E264" s="7">
        <v>0</v>
      </c>
      <c r="F264" s="6" t="s">
        <v>7</v>
      </c>
      <c r="G264" s="6" t="s">
        <v>2</v>
      </c>
      <c r="H264" s="14">
        <f t="shared" si="37"/>
        <v>0</v>
      </c>
      <c r="I264" s="19" t="s">
        <v>12</v>
      </c>
      <c r="J264" s="24"/>
      <c r="K264" s="24"/>
      <c r="L264" s="24"/>
      <c r="M264" s="28"/>
      <c r="N264" s="28"/>
      <c r="O264" s="31"/>
      <c r="P264" s="31"/>
      <c r="Q264" s="31"/>
      <c r="R264" s="31"/>
      <c r="S264" s="7">
        <f t="shared" si="39"/>
        <v>0</v>
      </c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ht="16.5" customHeight="1" thickBot="1">
      <c r="A265" s="4" t="s">
        <v>287</v>
      </c>
      <c r="B265" s="5">
        <v>45627</v>
      </c>
      <c r="C265" s="6" t="s">
        <v>5</v>
      </c>
      <c r="D265" s="6" t="s">
        <v>8</v>
      </c>
      <c r="E265" s="7">
        <v>0</v>
      </c>
      <c r="F265" s="6" t="s">
        <v>7</v>
      </c>
      <c r="G265" s="6" t="s">
        <v>2</v>
      </c>
      <c r="H265" s="14">
        <f t="shared" si="37"/>
        <v>0</v>
      </c>
      <c r="I265" s="19" t="s">
        <v>12</v>
      </c>
      <c r="J265" s="25"/>
      <c r="K265" s="25"/>
      <c r="L265" s="25"/>
      <c r="M265" s="29"/>
      <c r="N265" s="28"/>
      <c r="O265" s="32"/>
      <c r="P265" s="31"/>
      <c r="Q265" s="31"/>
      <c r="R265" s="31"/>
      <c r="S265" s="7">
        <f t="shared" si="39"/>
        <v>0</v>
      </c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ht="16.5" customHeight="1" thickBot="1">
      <c r="A266" s="4" t="s">
        <v>288</v>
      </c>
      <c r="B266" s="5">
        <v>45292</v>
      </c>
      <c r="C266" s="6" t="s">
        <v>5</v>
      </c>
      <c r="D266" s="6" t="s">
        <v>9</v>
      </c>
      <c r="E266" s="7">
        <v>69.699999999999989</v>
      </c>
      <c r="F266" s="6" t="s">
        <v>10</v>
      </c>
      <c r="G266" s="6" t="s">
        <v>11</v>
      </c>
      <c r="H266" s="12">
        <f t="shared" ref="H266:H277" si="40">E266*10^6</f>
        <v>69699999.999999985</v>
      </c>
      <c r="I266" s="21" t="s">
        <v>69</v>
      </c>
      <c r="J266" s="26">
        <v>9.6</v>
      </c>
      <c r="K266" s="26"/>
      <c r="L266" s="26" t="s">
        <v>70</v>
      </c>
      <c r="M266" s="26">
        <v>0.45669999999999999</v>
      </c>
      <c r="N266" s="26">
        <v>3.5999999999999999E-3</v>
      </c>
      <c r="O266" s="26">
        <v>8.0999999999999996E-3</v>
      </c>
      <c r="P266" s="23">
        <v>1</v>
      </c>
      <c r="Q266" s="23">
        <v>21</v>
      </c>
      <c r="R266" s="23">
        <v>310</v>
      </c>
      <c r="S266" s="7">
        <f t="shared" ref="S266:S277" si="41">((H266*$J$266*$M$266*$P$266)+(H266*$J$266*$N$266*$Q$266)+(H266*$J$266*$O$266*$R$266))*10^-6</f>
        <v>2036.3328959999997</v>
      </c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ht="16.5" customHeight="1" thickBot="1">
      <c r="A267" s="4" t="s">
        <v>289</v>
      </c>
      <c r="B267" s="5">
        <v>45323</v>
      </c>
      <c r="C267" s="6" t="s">
        <v>5</v>
      </c>
      <c r="D267" s="6" t="s">
        <v>9</v>
      </c>
      <c r="E267" s="7">
        <v>56.149999999999991</v>
      </c>
      <c r="F267" s="6" t="s">
        <v>10</v>
      </c>
      <c r="G267" s="6" t="s">
        <v>11</v>
      </c>
      <c r="H267" s="12">
        <f t="shared" si="40"/>
        <v>56149999.999999993</v>
      </c>
      <c r="I267" s="21" t="s">
        <v>69</v>
      </c>
      <c r="J267" s="24"/>
      <c r="K267" s="24"/>
      <c r="L267" s="24"/>
      <c r="M267" s="24"/>
      <c r="N267" s="24"/>
      <c r="O267" s="24"/>
      <c r="P267" s="24"/>
      <c r="Q267" s="24"/>
      <c r="R267" s="24"/>
      <c r="S267" s="7">
        <f t="shared" si="41"/>
        <v>1640.4604319999996</v>
      </c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ht="16.5" customHeight="1" thickBot="1">
      <c r="A268" s="4" t="s">
        <v>290</v>
      </c>
      <c r="B268" s="5">
        <v>45352</v>
      </c>
      <c r="C268" s="6" t="s">
        <v>5</v>
      </c>
      <c r="D268" s="6" t="s">
        <v>9</v>
      </c>
      <c r="E268" s="7">
        <v>113.64999999999999</v>
      </c>
      <c r="F268" s="6" t="s">
        <v>10</v>
      </c>
      <c r="G268" s="6" t="s">
        <v>11</v>
      </c>
      <c r="H268" s="12">
        <f t="shared" si="40"/>
        <v>113649999.99999999</v>
      </c>
      <c r="I268" s="21" t="s">
        <v>69</v>
      </c>
      <c r="J268" s="24"/>
      <c r="K268" s="24"/>
      <c r="L268" s="24"/>
      <c r="M268" s="24"/>
      <c r="N268" s="24"/>
      <c r="O268" s="24"/>
      <c r="P268" s="24"/>
      <c r="Q268" s="24"/>
      <c r="R268" s="24"/>
      <c r="S268" s="7">
        <f t="shared" si="41"/>
        <v>3320.3620319999995</v>
      </c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ht="16.5" customHeight="1" thickBot="1">
      <c r="A269" s="4" t="s">
        <v>291</v>
      </c>
      <c r="B269" s="5">
        <v>45383</v>
      </c>
      <c r="C269" s="6" t="s">
        <v>5</v>
      </c>
      <c r="D269" s="6" t="s">
        <v>9</v>
      </c>
      <c r="E269" s="7">
        <v>88.1</v>
      </c>
      <c r="F269" s="6" t="s">
        <v>10</v>
      </c>
      <c r="G269" s="6" t="s">
        <v>11</v>
      </c>
      <c r="H269" s="12">
        <f t="shared" si="40"/>
        <v>88100000</v>
      </c>
      <c r="I269" s="21" t="s">
        <v>69</v>
      </c>
      <c r="J269" s="24"/>
      <c r="K269" s="24"/>
      <c r="L269" s="24"/>
      <c r="M269" s="24"/>
      <c r="N269" s="24"/>
      <c r="O269" s="24"/>
      <c r="P269" s="24"/>
      <c r="Q269" s="24"/>
      <c r="R269" s="24"/>
      <c r="S269" s="7">
        <f t="shared" si="41"/>
        <v>2573.9014079999997</v>
      </c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ht="16.5" customHeight="1" thickBot="1">
      <c r="A270" s="4" t="s">
        <v>292</v>
      </c>
      <c r="B270" s="5">
        <v>45413</v>
      </c>
      <c r="C270" s="6" t="s">
        <v>5</v>
      </c>
      <c r="D270" s="6" t="s">
        <v>9</v>
      </c>
      <c r="E270" s="7">
        <v>64.400000000000006</v>
      </c>
      <c r="F270" s="6" t="s">
        <v>10</v>
      </c>
      <c r="G270" s="6" t="s">
        <v>11</v>
      </c>
      <c r="H270" s="12">
        <f t="shared" si="40"/>
        <v>64400000.000000007</v>
      </c>
      <c r="I270" s="21" t="s">
        <v>69</v>
      </c>
      <c r="J270" s="24"/>
      <c r="K270" s="24"/>
      <c r="L270" s="24"/>
      <c r="M270" s="24"/>
      <c r="N270" s="24"/>
      <c r="O270" s="24"/>
      <c r="P270" s="24"/>
      <c r="Q270" s="24"/>
      <c r="R270" s="24"/>
      <c r="S270" s="7">
        <f t="shared" si="41"/>
        <v>1881.4897919999999</v>
      </c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ht="16.5" customHeight="1" thickBot="1">
      <c r="A271" s="4" t="s">
        <v>293</v>
      </c>
      <c r="B271" s="5">
        <v>45444</v>
      </c>
      <c r="C271" s="6" t="s">
        <v>5</v>
      </c>
      <c r="D271" s="6" t="s">
        <v>9</v>
      </c>
      <c r="E271" s="7">
        <v>120.55</v>
      </c>
      <c r="F271" s="6" t="s">
        <v>10</v>
      </c>
      <c r="G271" s="6" t="s">
        <v>11</v>
      </c>
      <c r="H271" s="12">
        <f t="shared" si="40"/>
        <v>120550000</v>
      </c>
      <c r="I271" s="21" t="s">
        <v>69</v>
      </c>
      <c r="J271" s="24"/>
      <c r="K271" s="24"/>
      <c r="L271" s="24"/>
      <c r="M271" s="24"/>
      <c r="N271" s="24"/>
      <c r="O271" s="24"/>
      <c r="P271" s="24"/>
      <c r="Q271" s="24"/>
      <c r="R271" s="24"/>
      <c r="S271" s="7">
        <f t="shared" si="41"/>
        <v>3521.9502239999997</v>
      </c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ht="16.5" customHeight="1" thickBot="1">
      <c r="A272" s="4" t="s">
        <v>294</v>
      </c>
      <c r="B272" s="5">
        <v>45474</v>
      </c>
      <c r="C272" s="6" t="s">
        <v>5</v>
      </c>
      <c r="D272" s="6" t="s">
        <v>9</v>
      </c>
      <c r="E272" s="7">
        <v>96.1</v>
      </c>
      <c r="F272" s="6" t="s">
        <v>10</v>
      </c>
      <c r="G272" s="6" t="s">
        <v>11</v>
      </c>
      <c r="H272" s="12">
        <f t="shared" si="40"/>
        <v>96100000</v>
      </c>
      <c r="I272" s="21" t="s">
        <v>69</v>
      </c>
      <c r="J272" s="24"/>
      <c r="K272" s="24"/>
      <c r="L272" s="24"/>
      <c r="M272" s="24"/>
      <c r="N272" s="24"/>
      <c r="O272" s="24"/>
      <c r="P272" s="24"/>
      <c r="Q272" s="24"/>
      <c r="R272" s="24"/>
      <c r="S272" s="7">
        <f t="shared" si="41"/>
        <v>2807.6268479999999</v>
      </c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ht="16.5" customHeight="1" thickBot="1">
      <c r="A273" s="4" t="s">
        <v>295</v>
      </c>
      <c r="B273" s="5">
        <v>45505</v>
      </c>
      <c r="C273" s="6" t="s">
        <v>5</v>
      </c>
      <c r="D273" s="6" t="s">
        <v>9</v>
      </c>
      <c r="E273" s="7">
        <v>106.2</v>
      </c>
      <c r="F273" s="6" t="s">
        <v>10</v>
      </c>
      <c r="G273" s="6" t="s">
        <v>11</v>
      </c>
      <c r="H273" s="12">
        <f t="shared" si="40"/>
        <v>106200000</v>
      </c>
      <c r="I273" s="21" t="s">
        <v>69</v>
      </c>
      <c r="J273" s="24"/>
      <c r="K273" s="24"/>
      <c r="L273" s="24"/>
      <c r="M273" s="24"/>
      <c r="N273" s="24"/>
      <c r="O273" s="24"/>
      <c r="P273" s="24"/>
      <c r="Q273" s="24"/>
      <c r="R273" s="24"/>
      <c r="S273" s="7">
        <f t="shared" si="41"/>
        <v>3102.7052159999998</v>
      </c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ht="16.5" customHeight="1" thickBot="1">
      <c r="A274" s="4" t="s">
        <v>296</v>
      </c>
      <c r="B274" s="5">
        <v>45536</v>
      </c>
      <c r="C274" s="6" t="s">
        <v>5</v>
      </c>
      <c r="D274" s="6" t="s">
        <v>9</v>
      </c>
      <c r="E274" s="7">
        <v>90.149999999999991</v>
      </c>
      <c r="F274" s="6" t="s">
        <v>10</v>
      </c>
      <c r="G274" s="6" t="s">
        <v>11</v>
      </c>
      <c r="H274" s="12">
        <f t="shared" si="40"/>
        <v>90149999.999999985</v>
      </c>
      <c r="I274" s="21" t="s">
        <v>69</v>
      </c>
      <c r="J274" s="24"/>
      <c r="K274" s="24"/>
      <c r="L274" s="24"/>
      <c r="M274" s="24"/>
      <c r="N274" s="24"/>
      <c r="O274" s="24"/>
      <c r="P274" s="24"/>
      <c r="Q274" s="24"/>
      <c r="R274" s="24"/>
      <c r="S274" s="7">
        <f t="shared" si="41"/>
        <v>2633.7935519999992</v>
      </c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ht="16.5" customHeight="1" thickBot="1">
      <c r="A275" s="4" t="s">
        <v>297</v>
      </c>
      <c r="B275" s="5">
        <v>45566</v>
      </c>
      <c r="C275" s="6" t="s">
        <v>5</v>
      </c>
      <c r="D275" s="6" t="s">
        <v>9</v>
      </c>
      <c r="E275" s="7">
        <v>100.74999999999999</v>
      </c>
      <c r="F275" s="6" t="s">
        <v>10</v>
      </c>
      <c r="G275" s="6" t="s">
        <v>11</v>
      </c>
      <c r="H275" s="12">
        <f t="shared" si="40"/>
        <v>100749999.99999999</v>
      </c>
      <c r="I275" s="21" t="s">
        <v>69</v>
      </c>
      <c r="J275" s="24"/>
      <c r="K275" s="24"/>
      <c r="L275" s="24"/>
      <c r="M275" s="24"/>
      <c r="N275" s="24"/>
      <c r="O275" s="24"/>
      <c r="P275" s="24"/>
      <c r="Q275" s="24"/>
      <c r="R275" s="24"/>
      <c r="S275" s="7">
        <f t="shared" si="41"/>
        <v>2943.4797599999988</v>
      </c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ht="16.5" customHeight="1" thickBot="1">
      <c r="A276" s="4" t="s">
        <v>298</v>
      </c>
      <c r="B276" s="5">
        <v>45597</v>
      </c>
      <c r="C276" s="6" t="s">
        <v>5</v>
      </c>
      <c r="D276" s="6" t="s">
        <v>9</v>
      </c>
      <c r="E276" s="7">
        <v>122.79999999999998</v>
      </c>
      <c r="F276" s="6" t="s">
        <v>10</v>
      </c>
      <c r="G276" s="6" t="s">
        <v>11</v>
      </c>
      <c r="H276" s="12">
        <f t="shared" si="40"/>
        <v>122799999.99999999</v>
      </c>
      <c r="I276" s="21" t="s">
        <v>69</v>
      </c>
      <c r="J276" s="24"/>
      <c r="K276" s="24"/>
      <c r="L276" s="24"/>
      <c r="M276" s="24"/>
      <c r="N276" s="24"/>
      <c r="O276" s="24"/>
      <c r="P276" s="24"/>
      <c r="Q276" s="24"/>
      <c r="R276" s="24"/>
      <c r="S276" s="7">
        <f t="shared" si="41"/>
        <v>3587.6855039999996</v>
      </c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ht="16.5" customHeight="1" thickBot="1">
      <c r="A277" s="4" t="s">
        <v>299</v>
      </c>
      <c r="B277" s="5">
        <v>45627</v>
      </c>
      <c r="C277" s="6" t="s">
        <v>5</v>
      </c>
      <c r="D277" s="6" t="s">
        <v>9</v>
      </c>
      <c r="E277" s="7">
        <v>54.800000000000004</v>
      </c>
      <c r="F277" s="6" t="s">
        <v>10</v>
      </c>
      <c r="G277" s="6" t="s">
        <v>11</v>
      </c>
      <c r="H277" s="12">
        <f t="shared" si="40"/>
        <v>54800000.000000007</v>
      </c>
      <c r="I277" s="21" t="s">
        <v>69</v>
      </c>
      <c r="J277" s="25"/>
      <c r="K277" s="25"/>
      <c r="L277" s="25"/>
      <c r="M277" s="25"/>
      <c r="N277" s="25"/>
      <c r="O277" s="25"/>
      <c r="P277" s="25"/>
      <c r="Q277" s="25"/>
      <c r="R277" s="25"/>
      <c r="S277" s="7">
        <f t="shared" si="41"/>
        <v>1601.019264</v>
      </c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ht="16.5" customHeight="1" thickBot="1">
      <c r="A278" s="4" t="s">
        <v>300</v>
      </c>
      <c r="B278" s="5">
        <v>45292</v>
      </c>
      <c r="C278" s="6" t="s">
        <v>5</v>
      </c>
      <c r="D278" s="6" t="s">
        <v>83</v>
      </c>
      <c r="E278" s="7">
        <v>7027</v>
      </c>
      <c r="F278" s="6" t="s">
        <v>1</v>
      </c>
      <c r="G278" s="6" t="s">
        <v>11</v>
      </c>
      <c r="H278" s="14">
        <f t="shared" ref="H278:H289" si="42">E278/1000</f>
        <v>7.0270000000000001</v>
      </c>
      <c r="I278" s="22" t="s">
        <v>84</v>
      </c>
      <c r="J278" s="26"/>
      <c r="K278" s="26"/>
      <c r="L278" s="26"/>
      <c r="M278" s="36">
        <v>59510</v>
      </c>
      <c r="N278" s="39">
        <v>1.8320000000000001</v>
      </c>
      <c r="O278" s="40">
        <v>0.44</v>
      </c>
      <c r="P278" s="23">
        <v>1</v>
      </c>
      <c r="Q278" s="23">
        <v>21</v>
      </c>
      <c r="R278" s="23">
        <v>310</v>
      </c>
      <c r="S278" s="7">
        <f t="shared" ref="S278:S289" si="43">((H278*$M$278*$P$278)+(H278*$N$278*$Q$278)+(H278*$O$278*$R$278))*10^-6</f>
        <v>0.41940559554400003</v>
      </c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ht="16.5" customHeight="1" thickBot="1">
      <c r="A279" s="15" t="s">
        <v>301</v>
      </c>
      <c r="B279" s="5">
        <v>45323</v>
      </c>
      <c r="C279" s="6" t="s">
        <v>5</v>
      </c>
      <c r="D279" s="6" t="s">
        <v>83</v>
      </c>
      <c r="E279" s="7">
        <v>6343.5</v>
      </c>
      <c r="F279" s="6" t="s">
        <v>1</v>
      </c>
      <c r="G279" s="6" t="s">
        <v>11</v>
      </c>
      <c r="H279" s="14">
        <f t="shared" si="42"/>
        <v>6.3434999999999997</v>
      </c>
      <c r="I279" s="22" t="s">
        <v>84</v>
      </c>
      <c r="J279" s="24"/>
      <c r="K279" s="24"/>
      <c r="L279" s="24"/>
      <c r="M279" s="37"/>
      <c r="N279" s="37"/>
      <c r="O279" s="24"/>
      <c r="P279" s="24"/>
      <c r="Q279" s="24"/>
      <c r="R279" s="24"/>
      <c r="S279" s="7">
        <f t="shared" si="43"/>
        <v>0.37861098553199996</v>
      </c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ht="16.5" customHeight="1" thickBot="1">
      <c r="A280" s="15" t="s">
        <v>302</v>
      </c>
      <c r="B280" s="5">
        <v>45352</v>
      </c>
      <c r="C280" s="6" t="s">
        <v>5</v>
      </c>
      <c r="D280" s="6" t="s">
        <v>83</v>
      </c>
      <c r="E280" s="7">
        <v>6560</v>
      </c>
      <c r="F280" s="6" t="s">
        <v>1</v>
      </c>
      <c r="G280" s="6" t="s">
        <v>11</v>
      </c>
      <c r="H280" s="14">
        <f t="shared" si="42"/>
        <v>6.56</v>
      </c>
      <c r="I280" s="22" t="s">
        <v>84</v>
      </c>
      <c r="J280" s="24"/>
      <c r="K280" s="24"/>
      <c r="L280" s="24"/>
      <c r="M280" s="37"/>
      <c r="N280" s="37"/>
      <c r="O280" s="24"/>
      <c r="P280" s="24"/>
      <c r="Q280" s="24"/>
      <c r="R280" s="24"/>
      <c r="S280" s="7">
        <f t="shared" si="43"/>
        <v>0.39153276031999995</v>
      </c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16.5" customHeight="1" thickBot="1">
      <c r="A281" s="15" t="s">
        <v>303</v>
      </c>
      <c r="B281" s="5">
        <v>45383</v>
      </c>
      <c r="C281" s="6" t="s">
        <v>5</v>
      </c>
      <c r="D281" s="6" t="s">
        <v>83</v>
      </c>
      <c r="E281" s="7">
        <v>6368</v>
      </c>
      <c r="F281" s="6" t="s">
        <v>1</v>
      </c>
      <c r="G281" s="6" t="s">
        <v>11</v>
      </c>
      <c r="H281" s="14">
        <f t="shared" si="42"/>
        <v>6.3680000000000003</v>
      </c>
      <c r="I281" s="22" t="s">
        <v>84</v>
      </c>
      <c r="J281" s="24"/>
      <c r="K281" s="24"/>
      <c r="L281" s="24"/>
      <c r="M281" s="37"/>
      <c r="N281" s="37"/>
      <c r="O281" s="24"/>
      <c r="P281" s="24"/>
      <c r="Q281" s="24"/>
      <c r="R281" s="24"/>
      <c r="S281" s="7">
        <f t="shared" si="43"/>
        <v>0.38007326489599996</v>
      </c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ht="16.5" customHeight="1" thickBot="1">
      <c r="A282" s="15" t="s">
        <v>304</v>
      </c>
      <c r="B282" s="5">
        <v>45413</v>
      </c>
      <c r="C282" s="6" t="s">
        <v>5</v>
      </c>
      <c r="D282" s="6" t="s">
        <v>83</v>
      </c>
      <c r="E282" s="7">
        <v>7173.5</v>
      </c>
      <c r="F282" s="6" t="s">
        <v>1</v>
      </c>
      <c r="G282" s="6" t="s">
        <v>11</v>
      </c>
      <c r="H282" s="14">
        <f t="shared" si="42"/>
        <v>7.1734999999999998</v>
      </c>
      <c r="I282" s="22" t="s">
        <v>84</v>
      </c>
      <c r="J282" s="24"/>
      <c r="K282" s="24"/>
      <c r="L282" s="24"/>
      <c r="M282" s="37"/>
      <c r="N282" s="37"/>
      <c r="O282" s="24"/>
      <c r="P282" s="24"/>
      <c r="Q282" s="24"/>
      <c r="R282" s="24"/>
      <c r="S282" s="7">
        <f t="shared" si="43"/>
        <v>0.42814942929199995</v>
      </c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ht="16.5" customHeight="1" thickBot="1">
      <c r="A283" s="15" t="s">
        <v>305</v>
      </c>
      <c r="B283" s="5">
        <v>45444</v>
      </c>
      <c r="C283" s="6" t="s">
        <v>5</v>
      </c>
      <c r="D283" s="6" t="s">
        <v>83</v>
      </c>
      <c r="E283" s="7">
        <v>6582.5</v>
      </c>
      <c r="F283" s="6" t="s">
        <v>1</v>
      </c>
      <c r="G283" s="6" t="s">
        <v>11</v>
      </c>
      <c r="H283" s="14">
        <f t="shared" si="42"/>
        <v>6.5824999999999996</v>
      </c>
      <c r="I283" s="22" t="s">
        <v>84</v>
      </c>
      <c r="J283" s="24"/>
      <c r="K283" s="24"/>
      <c r="L283" s="24"/>
      <c r="M283" s="37"/>
      <c r="N283" s="37"/>
      <c r="O283" s="24"/>
      <c r="P283" s="24"/>
      <c r="Q283" s="24"/>
      <c r="R283" s="24"/>
      <c r="S283" s="7">
        <f t="shared" si="43"/>
        <v>0.39287566993999989</v>
      </c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ht="16.5" customHeight="1" thickBot="1">
      <c r="A284" s="15" t="s">
        <v>306</v>
      </c>
      <c r="B284" s="5">
        <v>45474</v>
      </c>
      <c r="C284" s="6" t="s">
        <v>5</v>
      </c>
      <c r="D284" s="6" t="s">
        <v>83</v>
      </c>
      <c r="E284" s="7">
        <v>6308</v>
      </c>
      <c r="F284" s="6" t="s">
        <v>1</v>
      </c>
      <c r="G284" s="6" t="s">
        <v>11</v>
      </c>
      <c r="H284" s="14">
        <f t="shared" si="42"/>
        <v>6.3079999999999998</v>
      </c>
      <c r="I284" s="22" t="s">
        <v>84</v>
      </c>
      <c r="J284" s="24"/>
      <c r="K284" s="24"/>
      <c r="L284" s="24"/>
      <c r="M284" s="37"/>
      <c r="N284" s="37"/>
      <c r="O284" s="24"/>
      <c r="P284" s="24"/>
      <c r="Q284" s="24"/>
      <c r="R284" s="24"/>
      <c r="S284" s="7">
        <f t="shared" si="43"/>
        <v>0.37649217257599998</v>
      </c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ht="16.5" customHeight="1" thickBot="1">
      <c r="A285" s="15" t="s">
        <v>307</v>
      </c>
      <c r="B285" s="5">
        <v>45505</v>
      </c>
      <c r="C285" s="6" t="s">
        <v>5</v>
      </c>
      <c r="D285" s="6" t="s">
        <v>83</v>
      </c>
      <c r="E285" s="7">
        <v>6141.5</v>
      </c>
      <c r="F285" s="6" t="s">
        <v>1</v>
      </c>
      <c r="G285" s="6" t="s">
        <v>11</v>
      </c>
      <c r="H285" s="14">
        <f t="shared" si="42"/>
        <v>6.1414999999999997</v>
      </c>
      <c r="I285" s="22" t="s">
        <v>84</v>
      </c>
      <c r="J285" s="24"/>
      <c r="K285" s="24"/>
      <c r="L285" s="24"/>
      <c r="M285" s="37"/>
      <c r="N285" s="37"/>
      <c r="O285" s="24"/>
      <c r="P285" s="24"/>
      <c r="Q285" s="24"/>
      <c r="R285" s="24"/>
      <c r="S285" s="7">
        <f t="shared" si="43"/>
        <v>0.36655464138799998</v>
      </c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ht="16.5" customHeight="1" thickBot="1">
      <c r="A286" s="15" t="s">
        <v>308</v>
      </c>
      <c r="B286" s="5">
        <v>45536</v>
      </c>
      <c r="C286" s="6" t="s">
        <v>5</v>
      </c>
      <c r="D286" s="6" t="s">
        <v>83</v>
      </c>
      <c r="E286" s="7">
        <v>6500.5</v>
      </c>
      <c r="F286" s="6" t="s">
        <v>1</v>
      </c>
      <c r="G286" s="6" t="s">
        <v>11</v>
      </c>
      <c r="H286" s="14">
        <f t="shared" si="42"/>
        <v>6.5004999999999997</v>
      </c>
      <c r="I286" s="22" t="s">
        <v>84</v>
      </c>
      <c r="J286" s="24"/>
      <c r="K286" s="24"/>
      <c r="L286" s="24"/>
      <c r="M286" s="37"/>
      <c r="N286" s="37"/>
      <c r="O286" s="24"/>
      <c r="P286" s="24"/>
      <c r="Q286" s="24"/>
      <c r="R286" s="24"/>
      <c r="S286" s="7">
        <f t="shared" si="43"/>
        <v>0.38798151043599999</v>
      </c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ht="16.5" customHeight="1" thickBot="1">
      <c r="A287" s="15" t="s">
        <v>309</v>
      </c>
      <c r="B287" s="5">
        <v>45566</v>
      </c>
      <c r="C287" s="6" t="s">
        <v>5</v>
      </c>
      <c r="D287" s="6" t="s">
        <v>83</v>
      </c>
      <c r="E287" s="7">
        <v>6219</v>
      </c>
      <c r="F287" s="6" t="s">
        <v>1</v>
      </c>
      <c r="G287" s="6" t="s">
        <v>11</v>
      </c>
      <c r="H287" s="14">
        <f t="shared" si="42"/>
        <v>6.2190000000000003</v>
      </c>
      <c r="I287" s="22" t="s">
        <v>84</v>
      </c>
      <c r="J287" s="24"/>
      <c r="K287" s="24"/>
      <c r="L287" s="24"/>
      <c r="M287" s="37"/>
      <c r="N287" s="37"/>
      <c r="O287" s="24"/>
      <c r="P287" s="24"/>
      <c r="Q287" s="24"/>
      <c r="R287" s="24"/>
      <c r="S287" s="7">
        <f t="shared" si="43"/>
        <v>0.37118021896799996</v>
      </c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ht="16.5" customHeight="1" thickBot="1">
      <c r="A288" s="15" t="s">
        <v>310</v>
      </c>
      <c r="B288" s="5">
        <v>45597</v>
      </c>
      <c r="C288" s="6" t="s">
        <v>5</v>
      </c>
      <c r="D288" s="6" t="s">
        <v>83</v>
      </c>
      <c r="E288" s="7">
        <v>6744.5</v>
      </c>
      <c r="F288" s="6" t="s">
        <v>1</v>
      </c>
      <c r="G288" s="6" t="s">
        <v>11</v>
      </c>
      <c r="H288" s="14">
        <f t="shared" si="42"/>
        <v>6.7445000000000004</v>
      </c>
      <c r="I288" s="22" t="s">
        <v>84</v>
      </c>
      <c r="J288" s="24"/>
      <c r="K288" s="24"/>
      <c r="L288" s="24"/>
      <c r="M288" s="37"/>
      <c r="N288" s="37"/>
      <c r="O288" s="24"/>
      <c r="P288" s="24"/>
      <c r="Q288" s="24"/>
      <c r="R288" s="24"/>
      <c r="S288" s="7">
        <f t="shared" si="43"/>
        <v>0.40254461920399998</v>
      </c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ht="16.5" customHeight="1" thickBot="1">
      <c r="A289" s="15" t="s">
        <v>311</v>
      </c>
      <c r="B289" s="16">
        <v>45627</v>
      </c>
      <c r="C289" s="10" t="s">
        <v>5</v>
      </c>
      <c r="D289" s="10" t="s">
        <v>83</v>
      </c>
      <c r="E289" s="7">
        <v>7063</v>
      </c>
      <c r="F289" s="10" t="s">
        <v>1</v>
      </c>
      <c r="G289" s="10" t="s">
        <v>11</v>
      </c>
      <c r="H289" s="14">
        <f t="shared" si="42"/>
        <v>7.0629999999999997</v>
      </c>
      <c r="I289" s="22" t="s">
        <v>84</v>
      </c>
      <c r="J289" s="25"/>
      <c r="K289" s="25"/>
      <c r="L289" s="25"/>
      <c r="M289" s="38"/>
      <c r="N289" s="38"/>
      <c r="O289" s="25"/>
      <c r="P289" s="25"/>
      <c r="Q289" s="25"/>
      <c r="R289" s="25"/>
      <c r="S289" s="7">
        <f t="shared" si="43"/>
        <v>0.42155425093599996</v>
      </c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15.75" customHeight="1"/>
    <row r="491" spans="1:34" ht="15.75" customHeight="1"/>
    <row r="492" spans="1:34" ht="15.75" customHeight="1"/>
    <row r="493" spans="1:34" ht="15.75" customHeight="1"/>
    <row r="494" spans="1:34" ht="15.75" customHeight="1"/>
    <row r="495" spans="1:34" ht="15.75" customHeight="1"/>
    <row r="496" spans="1:34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autoFilter ref="A1:S289"/>
  <mergeCells count="200">
    <mergeCell ref="P230:P241"/>
    <mergeCell ref="Q230:Q241"/>
    <mergeCell ref="R230:R241"/>
    <mergeCell ref="J230:J241"/>
    <mergeCell ref="K230:K241"/>
    <mergeCell ref="L230:L241"/>
    <mergeCell ref="M230:M241"/>
    <mergeCell ref="N230:N241"/>
    <mergeCell ref="O230:O241"/>
    <mergeCell ref="P218:P229"/>
    <mergeCell ref="Q218:Q229"/>
    <mergeCell ref="R218:R229"/>
    <mergeCell ref="J218:J229"/>
    <mergeCell ref="K218:K229"/>
    <mergeCell ref="L218:L229"/>
    <mergeCell ref="M218:M229"/>
    <mergeCell ref="N218:N229"/>
    <mergeCell ref="O218:O229"/>
    <mergeCell ref="P206:P217"/>
    <mergeCell ref="Q206:Q217"/>
    <mergeCell ref="R206:R217"/>
    <mergeCell ref="J206:J217"/>
    <mergeCell ref="K206:K217"/>
    <mergeCell ref="L206:L217"/>
    <mergeCell ref="M206:M217"/>
    <mergeCell ref="N206:N217"/>
    <mergeCell ref="O206:O217"/>
    <mergeCell ref="P194:P205"/>
    <mergeCell ref="Q194:Q205"/>
    <mergeCell ref="R194:R205"/>
    <mergeCell ref="J194:J205"/>
    <mergeCell ref="K194:K205"/>
    <mergeCell ref="L194:L205"/>
    <mergeCell ref="M194:M205"/>
    <mergeCell ref="N194:N205"/>
    <mergeCell ref="O194:O205"/>
    <mergeCell ref="L170:L181"/>
    <mergeCell ref="M170:M181"/>
    <mergeCell ref="N170:N181"/>
    <mergeCell ref="O170:O181"/>
    <mergeCell ref="P170:R181"/>
    <mergeCell ref="J182:J193"/>
    <mergeCell ref="K182:K193"/>
    <mergeCell ref="L182:L193"/>
    <mergeCell ref="M182:M193"/>
    <mergeCell ref="N182:N193"/>
    <mergeCell ref="O182:O193"/>
    <mergeCell ref="P182:R193"/>
    <mergeCell ref="J98:J109"/>
    <mergeCell ref="K98:K109"/>
    <mergeCell ref="L98:L109"/>
    <mergeCell ref="M98:M109"/>
    <mergeCell ref="N98:N109"/>
    <mergeCell ref="O98:O109"/>
    <mergeCell ref="P98:R109"/>
    <mergeCell ref="J110:J121"/>
    <mergeCell ref="K110:K121"/>
    <mergeCell ref="L110:L121"/>
    <mergeCell ref="M110:M121"/>
    <mergeCell ref="N110:N121"/>
    <mergeCell ref="O110:O121"/>
    <mergeCell ref="P110:R121"/>
    <mergeCell ref="P278:P289"/>
    <mergeCell ref="Q278:Q289"/>
    <mergeCell ref="R278:R289"/>
    <mergeCell ref="J278:J289"/>
    <mergeCell ref="K278:K289"/>
    <mergeCell ref="L278:L289"/>
    <mergeCell ref="M278:M289"/>
    <mergeCell ref="N278:N289"/>
    <mergeCell ref="O278:O289"/>
    <mergeCell ref="J26:J37"/>
    <mergeCell ref="K26:K37"/>
    <mergeCell ref="L26:L37"/>
    <mergeCell ref="M26:M37"/>
    <mergeCell ref="N26:N37"/>
    <mergeCell ref="O26:O37"/>
    <mergeCell ref="P26:R37"/>
    <mergeCell ref="J38:J49"/>
    <mergeCell ref="K38:K49"/>
    <mergeCell ref="L38:L49"/>
    <mergeCell ref="M38:M49"/>
    <mergeCell ref="N38:N49"/>
    <mergeCell ref="O38:O49"/>
    <mergeCell ref="P38:R49"/>
    <mergeCell ref="P14:P25"/>
    <mergeCell ref="Q14:Q25"/>
    <mergeCell ref="R14:R25"/>
    <mergeCell ref="J14:J25"/>
    <mergeCell ref="K14:K25"/>
    <mergeCell ref="L14:L25"/>
    <mergeCell ref="M14:M25"/>
    <mergeCell ref="N14:N25"/>
    <mergeCell ref="O14:O25"/>
    <mergeCell ref="P2:P13"/>
    <mergeCell ref="Q2:Q13"/>
    <mergeCell ref="R2:R13"/>
    <mergeCell ref="J2:J13"/>
    <mergeCell ref="K2:K13"/>
    <mergeCell ref="L2:L13"/>
    <mergeCell ref="M2:M13"/>
    <mergeCell ref="N2:N13"/>
    <mergeCell ref="O2:O13"/>
    <mergeCell ref="P266:P277"/>
    <mergeCell ref="Q266:Q277"/>
    <mergeCell ref="R266:R277"/>
    <mergeCell ref="J266:J277"/>
    <mergeCell ref="K266:K277"/>
    <mergeCell ref="L266:L277"/>
    <mergeCell ref="M266:M277"/>
    <mergeCell ref="N266:N277"/>
    <mergeCell ref="O266:O277"/>
    <mergeCell ref="Q146:Q157"/>
    <mergeCell ref="R146:R157"/>
    <mergeCell ref="J146:J157"/>
    <mergeCell ref="K146:K157"/>
    <mergeCell ref="L146:L157"/>
    <mergeCell ref="M146:M157"/>
    <mergeCell ref="N146:N157"/>
    <mergeCell ref="O146:O157"/>
    <mergeCell ref="L254:L265"/>
    <mergeCell ref="M254:M265"/>
    <mergeCell ref="N254:N265"/>
    <mergeCell ref="O254:O265"/>
    <mergeCell ref="P254:R265"/>
    <mergeCell ref="P158:P169"/>
    <mergeCell ref="Q158:Q169"/>
    <mergeCell ref="R158:R169"/>
    <mergeCell ref="J158:J169"/>
    <mergeCell ref="K158:K169"/>
    <mergeCell ref="L158:L169"/>
    <mergeCell ref="M158:M169"/>
    <mergeCell ref="N158:N169"/>
    <mergeCell ref="O158:O169"/>
    <mergeCell ref="J170:J181"/>
    <mergeCell ref="K170:K181"/>
    <mergeCell ref="Q122:Q133"/>
    <mergeCell ref="R122:R133"/>
    <mergeCell ref="J122:J133"/>
    <mergeCell ref="K122:K133"/>
    <mergeCell ref="L122:L133"/>
    <mergeCell ref="M122:M133"/>
    <mergeCell ref="N122:N133"/>
    <mergeCell ref="O122:O133"/>
    <mergeCell ref="Q134:Q145"/>
    <mergeCell ref="R134:R145"/>
    <mergeCell ref="J134:J145"/>
    <mergeCell ref="K134:K145"/>
    <mergeCell ref="L134:L145"/>
    <mergeCell ref="M134:M145"/>
    <mergeCell ref="N134:N145"/>
    <mergeCell ref="O134:O145"/>
    <mergeCell ref="J254:J265"/>
    <mergeCell ref="K254:K265"/>
    <mergeCell ref="Q50:Q61"/>
    <mergeCell ref="R50:R61"/>
    <mergeCell ref="J50:J61"/>
    <mergeCell ref="K50:K61"/>
    <mergeCell ref="L50:L61"/>
    <mergeCell ref="M50:M61"/>
    <mergeCell ref="N50:N61"/>
    <mergeCell ref="O50:O61"/>
    <mergeCell ref="Q62:Q73"/>
    <mergeCell ref="R62:R73"/>
    <mergeCell ref="J62:J73"/>
    <mergeCell ref="K62:K73"/>
    <mergeCell ref="L62:L73"/>
    <mergeCell ref="M62:M73"/>
    <mergeCell ref="N62:N73"/>
    <mergeCell ref="O62:O73"/>
    <mergeCell ref="Q74:Q85"/>
    <mergeCell ref="R74:R85"/>
    <mergeCell ref="J74:J85"/>
    <mergeCell ref="K74:K85"/>
    <mergeCell ref="L74:L85"/>
    <mergeCell ref="M74:M85"/>
    <mergeCell ref="P50:P61"/>
    <mergeCell ref="P62:P73"/>
    <mergeCell ref="P74:P85"/>
    <mergeCell ref="P86:P97"/>
    <mergeCell ref="P122:P133"/>
    <mergeCell ref="P134:P145"/>
    <mergeCell ref="P146:P157"/>
    <mergeCell ref="J242:J253"/>
    <mergeCell ref="K242:K253"/>
    <mergeCell ref="L242:L253"/>
    <mergeCell ref="M242:M253"/>
    <mergeCell ref="N242:N253"/>
    <mergeCell ref="O242:O253"/>
    <mergeCell ref="P242:R253"/>
    <mergeCell ref="N74:N85"/>
    <mergeCell ref="O74:O85"/>
    <mergeCell ref="Q86:Q97"/>
    <mergeCell ref="R86:R97"/>
    <mergeCell ref="J86:J97"/>
    <mergeCell ref="K86:K97"/>
    <mergeCell ref="L86:L97"/>
    <mergeCell ref="M86:M97"/>
    <mergeCell ref="N86:N97"/>
    <mergeCell ref="O86:O97"/>
  </mergeCells>
  <phoneticPr fontId="5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Dongyup Shin</dc:creator>
  <cp:lastModifiedBy>Dongyup Shin</cp:lastModifiedBy>
  <dcterms:created xsi:type="dcterms:W3CDTF">2026-07-02T19:02:01Z</dcterms:created>
  <dcterms:modified xsi:type="dcterms:W3CDTF">2026-07-06T15:59:04Z</dcterms:modified>
</cp:coreProperties>
</file>